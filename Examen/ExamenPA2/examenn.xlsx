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al\eclipse-workspace\ExamenPA2\"/>
    </mc:Choice>
  </mc:AlternateContent>
  <xr:revisionPtr revIDLastSave="0" documentId="13_ncr:1_{0898CB6D-AD24-4ECF-BF65-066A24CCBD93}" xr6:coauthVersionLast="47" xr6:coauthVersionMax="47" xr10:uidLastSave="{00000000-0000-0000-0000-000000000000}"/>
  <bookViews>
    <workbookView xWindow="-108" yWindow="-108" windowWidth="23256" windowHeight="12456" xr2:uid="{35040A03-EC8B-4DA8-A513-F2876295C7C9}"/>
  </bookViews>
  <sheets>
    <sheet name="ReporteProductoIntegrador" sheetId="3" r:id="rId1"/>
    <sheet name="RubricaProducto" sheetId="1" r:id="rId2"/>
    <sheet name="ListaCotejoAtributo" sheetId="4" r:id="rId3"/>
  </sheets>
  <externalReferences>
    <externalReference r:id="rId4"/>
  </externalReferences>
  <definedNames>
    <definedName name="ALUMNO">[1]ListasAsistencia!#REF!</definedName>
    <definedName name="Asignatura">[1]AsignaturaAtributo!$B:$B</definedName>
    <definedName name="Atributo">[1]Datosatributos!$A$2:$A$1048576</definedName>
    <definedName name="AtributoAsignatura">[1]AsignaturaAtributo!$C:$C</definedName>
    <definedName name="Carrera">[1]AsignaturaAtributo!$A:$A</definedName>
    <definedName name="Criterios_de_desempeño">[1]Datosatributos!$B$2:$B$1048576</definedName>
    <definedName name="Indicadores">[1]Datosatributos!$D$2:$D$1048576</definedName>
    <definedName name="LETRA">[1]ListasAsistencia!#REF!</definedName>
    <definedName name="MATRICULA">[1]ListasAsistencia!#REF!</definedName>
    <definedName name="PROFESOR">[1]ListasAsistencia!#REF!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2" i="3"/>
</calcChain>
</file>

<file path=xl/sharedStrings.xml><?xml version="1.0" encoding="utf-8"?>
<sst xmlns="http://schemas.openxmlformats.org/spreadsheetml/2006/main" count="65" uniqueCount="45">
  <si>
    <t>INSTRUMENTO DE EVALUACIÓN DEL PRODUCTO INTEGRADOR</t>
  </si>
  <si>
    <t>Programa educativo:</t>
  </si>
  <si>
    <t>Asignatura:</t>
  </si>
  <si>
    <t>Grupo</t>
  </si>
  <si>
    <t>Docente:</t>
  </si>
  <si>
    <t>Periodo:</t>
  </si>
  <si>
    <t>Actividad:</t>
  </si>
  <si>
    <t>Atributo de egreso</t>
  </si>
  <si>
    <t>Criterio de desempeño</t>
  </si>
  <si>
    <t>Indicador</t>
  </si>
  <si>
    <t>Criterio de evaluación</t>
  </si>
  <si>
    <t>Cal.</t>
  </si>
  <si>
    <t>Observaciones</t>
  </si>
  <si>
    <t>Calificacion</t>
  </si>
  <si>
    <t>Nivel de desempeño</t>
  </si>
  <si>
    <t>Calificación</t>
  </si>
  <si>
    <t>Excelente</t>
  </si>
  <si>
    <t>Bueno</t>
  </si>
  <si>
    <t>Regular</t>
  </si>
  <si>
    <t>8-7</t>
  </si>
  <si>
    <t>No Alcanza</t>
  </si>
  <si>
    <t>6-0</t>
  </si>
  <si>
    <t>RUBRICA DE EVALUACIÓN DEL ATRIBUTO DE EGRESO</t>
  </si>
  <si>
    <t>Ing. Sistemas Computacionales</t>
  </si>
  <si>
    <t>Nivel de Atributo</t>
  </si>
  <si>
    <t>Criterio</t>
  </si>
  <si>
    <t>Excelente 10</t>
  </si>
  <si>
    <t xml:space="preserve">Bueno 9 </t>
  </si>
  <si>
    <t>Regular 8-7</t>
  </si>
  <si>
    <t>No alcanza 6-0</t>
  </si>
  <si>
    <t>Dr. Marco A. Azuara Hernández</t>
  </si>
  <si>
    <t xml:space="preserve"> </t>
  </si>
  <si>
    <t>Armando Becerra del Angel</t>
  </si>
  <si>
    <t>PRESIDENTE DE ACADEMIA</t>
  </si>
  <si>
    <t>Profesor</t>
  </si>
  <si>
    <t>LISTA DE COTEJO DE EVALUACIÓN DEL PRODUCTO INTEGRADOR</t>
  </si>
  <si>
    <t>Nivel del Atributo</t>
  </si>
  <si>
    <t>Producto Integrador</t>
  </si>
  <si>
    <t>Indicadores</t>
  </si>
  <si>
    <t>Alumno</t>
  </si>
  <si>
    <t>Escala de evaluación</t>
  </si>
  <si>
    <t>PROMEDIO FINAL</t>
  </si>
  <si>
    <t>Producto Intregrador</t>
  </si>
  <si>
    <t>Ene-Junio 2026</t>
  </si>
  <si>
    <t>Ene - Junio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</si>
</sst>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XDR&quot;* #,##0.00_-;\-&quot;XDR&quot;* #,##0.00_-;_-&quot;XDR&quot;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.5"/>
      <color rgb="FF000000"/>
      <name val="Arial"/>
      <family val="2"/>
      <charset val="1"/>
    </font>
    <font>
      <b/>
      <sz val="8.5"/>
      <color rgb="FF000000"/>
      <name val="Arial"/>
      <family val="2"/>
      <charset val="1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9"/>
      <color rgb="FF000000"/>
      <name val="Aptos"/>
      <family val="2"/>
    </font>
    <font>
      <sz val="10"/>
      <color theme="1"/>
      <name val="Calibri"/>
      <family val="2"/>
      <scheme val="minor"/>
    </font>
    <font>
      <sz val="13.5"/>
      <color rgb="FF000000"/>
      <name val="Times New Roman"/>
      <family val="1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ck">
        <color rgb="FFC0C0C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1" fillId="2" borderId="0" xfId="1" applyFill="1"/>
    <xf numFmtId="0" fontId="1" fillId="2" borderId="0" xfId="1" applyFill="1" applyAlignment="1">
      <alignment vertical="center" wrapText="1"/>
    </xf>
    <xf numFmtId="0" fontId="9" fillId="0" borderId="0" xfId="0" applyFont="1" applyAlignment="1">
      <alignment wrapText="1"/>
    </xf>
    <xf numFmtId="0" fontId="9" fillId="0" borderId="11" xfId="0" applyFont="1" applyBorder="1" applyAlignment="1">
      <alignment wrapText="1"/>
    </xf>
    <xf numFmtId="49" fontId="10" fillId="0" borderId="0" xfId="0" applyNumberFormat="1" applyFont="1"/>
    <xf numFmtId="0" fontId="10" fillId="0" borderId="0" xfId="0" applyFont="1"/>
    <xf numFmtId="49" fontId="0" fillId="0" borderId="0" xfId="0" applyNumberFormat="1"/>
    <xf numFmtId="0" fontId="1" fillId="0" borderId="0" xfId="1"/>
    <xf numFmtId="0" fontId="1" fillId="2" borderId="15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 wrapText="1"/>
    </xf>
    <xf numFmtId="0" fontId="1" fillId="2" borderId="14" xfId="1" applyFill="1" applyBorder="1" applyAlignment="1">
      <alignment horizontal="center" vertical="center" wrapText="1"/>
    </xf>
    <xf numFmtId="0" fontId="1" fillId="2" borderId="4" xfId="1" applyFill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 wrapText="1"/>
    </xf>
    <xf numFmtId="0" fontId="1" fillId="4" borderId="5" xfId="1" applyFill="1" applyBorder="1"/>
    <xf numFmtId="49" fontId="1" fillId="4" borderId="5" xfId="1" applyNumberFormat="1" applyFill="1" applyBorder="1"/>
    <xf numFmtId="0" fontId="3" fillId="0" borderId="5" xfId="1" applyFont="1" applyBorder="1"/>
    <xf numFmtId="0" fontId="1" fillId="2" borderId="5" xfId="1" applyFill="1" applyBorder="1"/>
    <xf numFmtId="0" fontId="1" fillId="0" borderId="14" xfId="1" applyBorder="1"/>
    <xf numFmtId="0" fontId="1" fillId="5" borderId="14" xfId="1" applyFill="1" applyBorder="1"/>
    <xf numFmtId="49" fontId="1" fillId="4" borderId="0" xfId="1" applyNumberFormat="1" applyFill="1"/>
    <xf numFmtId="0" fontId="1" fillId="6" borderId="14" xfId="1" applyFill="1" applyBorder="1" applyAlignment="1">
      <alignment horizontal="center"/>
    </xf>
    <xf numFmtId="49" fontId="1" fillId="6" borderId="14" xfId="1" applyNumberFormat="1" applyFill="1" applyBorder="1" applyAlignment="1">
      <alignment horizontal="center"/>
    </xf>
    <xf numFmtId="0" fontId="1" fillId="3" borderId="4" xfId="1" applyFill="1" applyBorder="1" applyAlignment="1">
      <alignment horizontal="right"/>
    </xf>
    <xf numFmtId="0" fontId="1" fillId="3" borderId="5" xfId="1" applyFill="1" applyBorder="1" applyAlignment="1">
      <alignment horizontal="right"/>
    </xf>
    <xf numFmtId="0" fontId="1" fillId="3" borderId="6" xfId="1" applyFill="1" applyBorder="1" applyAlignment="1">
      <alignment horizontal="right"/>
    </xf>
    <xf numFmtId="0" fontId="1" fillId="2" borderId="4" xfId="1" applyFill="1" applyBorder="1" applyAlignment="1" applyProtection="1">
      <alignment horizontal="left" vertical="center" wrapText="1"/>
      <protection locked="0"/>
    </xf>
    <xf numFmtId="0" fontId="1" fillId="2" borderId="5" xfId="1" applyFill="1" applyBorder="1" applyAlignment="1" applyProtection="1">
      <alignment horizontal="left" vertical="center" wrapText="1"/>
      <protection locked="0"/>
    </xf>
    <xf numFmtId="0" fontId="1" fillId="2" borderId="6" xfId="1" applyFill="1" applyBorder="1" applyAlignment="1" applyProtection="1">
      <alignment horizontal="left" vertical="center" wrapText="1"/>
      <protection locked="0"/>
    </xf>
    <xf numFmtId="0" fontId="1" fillId="2" borderId="14" xfId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6" borderId="14" xfId="1" applyFont="1" applyFill="1" applyBorder="1" applyAlignment="1">
      <alignment horizontal="left" vertical="center" wrapText="1"/>
    </xf>
    <xf numFmtId="0" fontId="1" fillId="4" borderId="7" xfId="1" applyFill="1" applyBorder="1" applyAlignment="1">
      <alignment horizontal="justify" vertical="justify"/>
    </xf>
    <xf numFmtId="0" fontId="1" fillId="4" borderId="0" xfId="1" applyFill="1" applyAlignment="1">
      <alignment horizontal="justify" vertical="justify"/>
    </xf>
    <xf numFmtId="0" fontId="3" fillId="6" borderId="1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3" fillId="6" borderId="8" xfId="1" applyFont="1" applyFill="1" applyBorder="1" applyAlignment="1">
      <alignment horizontal="center" vertical="center" wrapText="1"/>
    </xf>
    <xf numFmtId="0" fontId="3" fillId="6" borderId="10" xfId="1" applyFont="1" applyFill="1" applyBorder="1" applyAlignment="1">
      <alignment horizontal="center" vertical="center" wrapText="1"/>
    </xf>
    <xf numFmtId="0" fontId="3" fillId="6" borderId="12" xfId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 applyAlignment="1">
      <alignment horizontal="left" vertical="center"/>
    </xf>
    <xf numFmtId="0" fontId="1" fillId="4" borderId="7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4" xfId="1" applyFill="1" applyBorder="1" applyAlignment="1">
      <alignment horizontal="center" vertical="center" wrapText="1"/>
    </xf>
    <xf numFmtId="0" fontId="1" fillId="4" borderId="5" xfId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1" fillId="2" borderId="11" xfId="1" applyFill="1" applyBorder="1" applyAlignment="1">
      <alignment horizontal="center"/>
    </xf>
    <xf numFmtId="0" fontId="12" fillId="4" borderId="5" xfId="1" applyFont="1" applyFill="1" applyBorder="1" applyAlignment="1">
      <alignment horizontal="justify" vertical="justify" wrapText="1"/>
    </xf>
    <xf numFmtId="49" fontId="1" fillId="0" borderId="0" xfId="1" applyNumberFormat="1" applyAlignment="1">
      <alignment horizontal="center"/>
    </xf>
    <xf numFmtId="0" fontId="3" fillId="2" borderId="11" xfId="1" applyFont="1" applyFill="1" applyBorder="1" applyAlignment="1">
      <alignment horizontal="right"/>
    </xf>
    <xf numFmtId="0" fontId="1" fillId="2" borderId="5" xfId="1" applyFill="1" applyBorder="1" applyAlignment="1">
      <alignment horizontal="center"/>
    </xf>
    <xf numFmtId="0" fontId="3" fillId="2" borderId="11" xfId="1" applyFont="1" applyFill="1" applyBorder="1" applyAlignment="1">
      <alignment horizontal="left"/>
    </xf>
    <xf numFmtId="0" fontId="3" fillId="2" borderId="0" xfId="1" applyFont="1" applyFill="1" applyAlignment="1">
      <alignment horizontal="center"/>
    </xf>
    <xf numFmtId="0" fontId="1" fillId="0" borderId="11" xfId="1" applyBorder="1" applyAlignment="1">
      <alignment horizontal="left"/>
    </xf>
    <xf numFmtId="0" fontId="12" fillId="4" borderId="5" xfId="1" applyFont="1" applyFill="1" applyBorder="1" applyAlignment="1">
      <alignment horizontal="justify" vertical="justify"/>
    </xf>
    <xf numFmtId="49" fontId="1" fillId="4" borderId="5" xfId="1" applyNumberFormat="1" applyFill="1" applyBorder="1" applyAlignment="1">
      <alignment horizontal="left"/>
    </xf>
    <xf numFmtId="0" fontId="1" fillId="4" borderId="5" xfId="1" applyFill="1" applyBorder="1" applyAlignment="1">
      <alignment horizontal="left"/>
    </xf>
    <xf numFmtId="0" fontId="3" fillId="2" borderId="0" xfId="1" applyFont="1" applyFill="1" applyAlignment="1">
      <alignment horizontal="right"/>
    </xf>
    <xf numFmtId="49" fontId="1" fillId="4" borderId="5" xfId="1" applyNumberFormat="1" applyFill="1" applyBorder="1" applyAlignment="1">
      <alignment horizontal="center"/>
    </xf>
    <xf numFmtId="0" fontId="3" fillId="3" borderId="14" xfId="1" applyFont="1" applyFill="1" applyBorder="1" applyAlignment="1">
      <alignment horizontal="left" vertical="center" wrapText="1"/>
    </xf>
    <xf numFmtId="0" fontId="1" fillId="4" borderId="14" xfId="1" applyFill="1" applyBorder="1" applyAlignment="1">
      <alignment horizontal="justify" vertical="center" wrapText="1"/>
    </xf>
    <xf numFmtId="49" fontId="1" fillId="4" borderId="14" xfId="1" applyNumberFormat="1" applyFill="1" applyBorder="1" applyAlignment="1">
      <alignment horizontal="justify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3" borderId="11" xfId="1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/>
    </xf>
    <xf numFmtId="0" fontId="1" fillId="2" borderId="5" xfId="1" applyFill="1" applyBorder="1" applyAlignment="1">
      <alignment horizontal="center" vertical="center"/>
    </xf>
    <xf numFmtId="0" fontId="1" fillId="2" borderId="6" xfId="1" applyFill="1" applyBorder="1" applyAlignment="1">
      <alignment horizontal="center" vertical="center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6" xfId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justify" vertical="justify" wrapText="1"/>
    </xf>
    <xf numFmtId="0" fontId="1" fillId="0" borderId="5" xfId="1" applyBorder="1" applyAlignment="1">
      <alignment horizontal="justify" vertical="justify" wrapText="1"/>
    </xf>
    <xf numFmtId="0" fontId="1" fillId="0" borderId="6" xfId="1" applyBorder="1" applyAlignment="1">
      <alignment horizontal="justify" vertical="justify" wrapText="1"/>
    </xf>
    <xf numFmtId="0" fontId="11" fillId="0" borderId="1" xfId="1" applyFont="1" applyBorder="1" applyAlignment="1">
      <alignment horizontal="justify" vertical="justify" wrapText="1"/>
    </xf>
    <xf numFmtId="0" fontId="1" fillId="0" borderId="2" xfId="1" applyBorder="1" applyAlignment="1">
      <alignment horizontal="justify" vertical="justify" wrapText="1"/>
    </xf>
    <xf numFmtId="0" fontId="1" fillId="0" borderId="3" xfId="1" applyBorder="1" applyAlignment="1">
      <alignment horizontal="justify" vertical="justify" wrapText="1"/>
    </xf>
    <xf numFmtId="0" fontId="1" fillId="6" borderId="4" xfId="1" applyFill="1" applyBorder="1" applyAlignment="1">
      <alignment horizontal="center"/>
    </xf>
    <xf numFmtId="0" fontId="1" fillId="6" borderId="5" xfId="1" applyFill="1" applyBorder="1" applyAlignment="1">
      <alignment horizontal="center"/>
    </xf>
    <xf numFmtId="0" fontId="1" fillId="6" borderId="6" xfId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8" xfId="1" applyFill="1" applyBorder="1" applyAlignment="1">
      <alignment horizontal="center" vertical="center" wrapText="1"/>
    </xf>
    <xf numFmtId="0" fontId="4" fillId="0" borderId="4" xfId="0" applyFont="1" applyBorder="1" applyAlignment="1">
      <alignment horizontal="justify" vertical="justify" wrapText="1"/>
    </xf>
    <xf numFmtId="0" fontId="4" fillId="0" borderId="5" xfId="0" applyFont="1" applyBorder="1" applyAlignment="1">
      <alignment horizontal="justify" vertical="justify" wrapText="1"/>
    </xf>
    <xf numFmtId="0" fontId="4" fillId="0" borderId="6" xfId="0" applyFont="1" applyBorder="1" applyAlignment="1">
      <alignment horizontal="justify" vertical="justify" wrapText="1"/>
    </xf>
    <xf numFmtId="0" fontId="1" fillId="3" borderId="7" xfId="1" applyFill="1" applyBorder="1" applyAlignment="1">
      <alignment horizontal="center" vertical="center" wrapText="1"/>
    </xf>
    <xf numFmtId="0" fontId="1" fillId="3" borderId="0" xfId="1" applyFill="1" applyAlignment="1">
      <alignment horizontal="center" vertical="center" wrapText="1"/>
    </xf>
    <xf numFmtId="0" fontId="1" fillId="3" borderId="8" xfId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justify" vertical="justify" wrapText="1"/>
    </xf>
    <xf numFmtId="0" fontId="4" fillId="3" borderId="11" xfId="0" applyFont="1" applyFill="1" applyBorder="1" applyAlignment="1">
      <alignment horizontal="justify" vertical="justify" wrapText="1"/>
    </xf>
    <xf numFmtId="0" fontId="4" fillId="3" borderId="12" xfId="0" applyFont="1" applyFill="1" applyBorder="1" applyAlignment="1">
      <alignment horizontal="justify" vertical="justify" wrapText="1"/>
    </xf>
    <xf numFmtId="0" fontId="1" fillId="2" borderId="10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justify" vertical="justify" wrapText="1"/>
    </xf>
    <xf numFmtId="49" fontId="4" fillId="0" borderId="5" xfId="0" applyNumberFormat="1" applyFont="1" applyBorder="1" applyAlignment="1">
      <alignment horizontal="justify" vertical="justify" wrapText="1"/>
    </xf>
    <xf numFmtId="49" fontId="4" fillId="0" borderId="6" xfId="0" applyNumberFormat="1" applyFont="1" applyBorder="1" applyAlignment="1">
      <alignment horizontal="justify" vertical="justify" wrapText="1"/>
    </xf>
    <xf numFmtId="49" fontId="4" fillId="0" borderId="4" xfId="0" applyNumberFormat="1" applyFont="1" applyBorder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4" fillId="0" borderId="6" xfId="0" applyNumberFormat="1" applyFont="1" applyBorder="1" applyAlignment="1">
      <alignment horizontal="center" wrapText="1"/>
    </xf>
    <xf numFmtId="0" fontId="1" fillId="2" borderId="7" xfId="1" applyFill="1" applyBorder="1" applyAlignment="1">
      <alignment horizontal="center"/>
    </xf>
    <xf numFmtId="0" fontId="1" fillId="2" borderId="0" xfId="1" applyFill="1" applyAlignment="1">
      <alignment horizontal="center"/>
    </xf>
    <xf numFmtId="0" fontId="1" fillId="2" borderId="8" xfId="1" applyFill="1" applyBorder="1" applyAlignment="1">
      <alignment horizontal="center"/>
    </xf>
    <xf numFmtId="49" fontId="6" fillId="0" borderId="9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/>
    </xf>
    <xf numFmtId="0" fontId="1" fillId="3" borderId="7" xfId="1" applyFill="1" applyBorder="1" applyAlignment="1">
      <alignment horizontal="center"/>
    </xf>
    <xf numFmtId="0" fontId="1" fillId="3" borderId="0" xfId="1" applyFill="1" applyAlignment="1">
      <alignment horizontal="center"/>
    </xf>
    <xf numFmtId="0" fontId="1" fillId="3" borderId="8" xfId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5" fillId="4" borderId="9" xfId="1" applyFont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/>
    </xf>
  </cellXfs>
  <cellStyles count="2">
    <cellStyle name="Normal" xfId="0" builtinId="0"/>
    <cellStyle name="Normal 2" xfId="1" xr:uid="{934BC220-4512-44C1-BFBC-DB7F674C8B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76200</xdr:rowOff>
    </xdr:from>
    <xdr:ext cx="786082" cy="694373"/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4528854C-52B4-499C-A048-DBD03C65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76200"/>
          <a:ext cx="786082" cy="694373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304800</xdr:colOff>
      <xdr:row>0</xdr:row>
      <xdr:rowOff>0</xdr:rowOff>
    </xdr:from>
    <xdr:ext cx="1531620" cy="636012"/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DB0A3986-8116-4577-8D16-70D27F1A1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0"/>
          <a:ext cx="1531620" cy="6360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66675</xdr:rowOff>
    </xdr:from>
    <xdr:to>
      <xdr:col>2</xdr:col>
      <xdr:colOff>366982</xdr:colOff>
      <xdr:row>3</xdr:row>
      <xdr:rowOff>141923</xdr:rowOff>
    </xdr:to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9E6EB69E-9A67-43EF-BC26-2F993D97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6667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333375</xdr:colOff>
      <xdr:row>0</xdr:row>
      <xdr:rowOff>57150</xdr:rowOff>
    </xdr:from>
    <xdr:to>
      <xdr:col>13</xdr:col>
      <xdr:colOff>474345</xdr:colOff>
      <xdr:row>3</xdr:row>
      <xdr:rowOff>74037</xdr:rowOff>
    </xdr:to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B8BB54E4-01CE-4859-86A3-0BAE0802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57150"/>
          <a:ext cx="1531620" cy="6360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376507</xdr:colOff>
      <xdr:row>0</xdr:row>
      <xdr:rowOff>741998</xdr:rowOff>
    </xdr:to>
    <xdr:pic>
      <xdr:nvPicPr>
        <xdr:cNvPr id="2" name="Imagen 1" descr="Imagen que contiene Diagrama&#10;&#10;Descripción generada automáticamente">
          <a:extLst>
            <a:ext uri="{FF2B5EF4-FFF2-40B4-BE49-F238E27FC236}">
              <a16:creationId xmlns:a16="http://schemas.microsoft.com/office/drawing/2014/main" id="{24E79BF0-714F-42E2-BF2E-E037A6A9F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786082" cy="6943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104775</xdr:colOff>
      <xdr:row>0</xdr:row>
      <xdr:rowOff>0</xdr:rowOff>
    </xdr:from>
    <xdr:to>
      <xdr:col>6</xdr:col>
      <xdr:colOff>1636395</xdr:colOff>
      <xdr:row>0</xdr:row>
      <xdr:rowOff>636012</xdr:rowOff>
    </xdr:to>
    <xdr:pic>
      <xdr:nvPicPr>
        <xdr:cNvPr id="3" name="Imagen 2" descr="Texto&#10;&#10;Descripción generada automáticamente">
          <a:extLst>
            <a:ext uri="{FF2B5EF4-FFF2-40B4-BE49-F238E27FC236}">
              <a16:creationId xmlns:a16="http://schemas.microsoft.com/office/drawing/2014/main" id="{E7C2F4D9-0F8E-4270-81E8-9208BE9C4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0"/>
          <a:ext cx="1531620" cy="6360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calvar/Downloads/Atributos_Medio__2025_1.xlsx" TargetMode="External"/><Relationship Id="rId2" Type="http://schemas.openxmlformats.org/officeDocument/2006/relationships/externalLinkPath" Target="file:///C:\Users\ccalvar\Downloads\Atributos_Medio__2025_1.xlsx" TargetMode="External"/><Relationship Id="rId1" Type="http://schemas.openxmlformats.org/officeDocument/2006/relationships/externalLinkPath" Target="/Users/ccalvar/Downloads/Atributos_Medio__2025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ubricaProducto"/>
      <sheetName val="Instrucciones"/>
      <sheetName val="Datosatributos"/>
      <sheetName val="Instrucciones_2"/>
      <sheetName val="ReporteProductoIntegrador"/>
      <sheetName val="Instruccion 3"/>
      <sheetName val="ListaCotejoAtributo"/>
      <sheetName val="Datos"/>
      <sheetName val="AsignaturaAtributo"/>
      <sheetName val="ListasAsistencia"/>
      <sheetName val="ListaAlumnos"/>
    </sheetNames>
    <sheetDataSet>
      <sheetData sheetId="0" refreshError="1">
        <row r="5">
          <cell r="E5" t="str">
            <v>Ing. Sistemas Computacionales</v>
          </cell>
        </row>
      </sheetData>
      <sheetData sheetId="1" refreshError="1"/>
      <sheetData sheetId="2" refreshError="1">
        <row r="2">
          <cell r="A2" t="str">
            <v>Identificar, formular y resolver problemas de ingeniería aplicando los principios de las ciencias básicas en ingeniería.</v>
          </cell>
          <cell r="B2" t="str">
            <v>Ante un problema definido, interpretan los requerimientos y necesidades. Así como obtiene los datos suficientes para su descripción.</v>
          </cell>
          <cell r="D2" t="str">
            <v>Representa las variables en un modelo para poder manipular los indicadores (modelación).</v>
          </cell>
        </row>
        <row r="3">
          <cell r="A3" t="str">
            <v>Identificar, formular y resolver problemas de ingeniería aplicando los principios de las ciencias básicas en ingeniería.</v>
          </cell>
          <cell r="B3" t="str">
            <v>Plantea y resuelve problemas asociados a la ingeniería utilizando ciencias básicas y ciencias de la ingeniería.</v>
          </cell>
          <cell r="D3" t="str">
            <v>Identifica los problemas y sus variables para abordarlos de acuerdo con el análisis matemático mediante distintas herramientas de las ciencias básicas y de ingeniería.</v>
          </cell>
        </row>
        <row r="4">
          <cell r="A4" t="str">
            <v>Identificar, formular y resolver problemas de ingeniería aplicando los principios de las ciencias básicas en ingeniería.</v>
          </cell>
          <cell r="B4" t="str">
            <v>Proponen, comparan diferentes alternativas de solución y seleccionan la más adecuada satisfaciendo los requerimientos del problema ingenieril, con el apoyo de la tecnología.</v>
          </cell>
          <cell r="D4" t="str">
            <v>Conoce diferentes herramientas tecnológicas para apoyarse en la solución del problema.</v>
          </cell>
        </row>
        <row r="5">
          <cell r="A5" t="str">
            <v>Identificar, formular y resolver problemas de ingeniería aplicando los principios de las ciencias básicas en ingeniería.</v>
          </cell>
          <cell r="B5" t="str">
            <v>Proponen, comparan diferentes alternativas de solución y seleccionan la más adecuada satisfaciendo los requerimientos del problema ingenieril, con el apoyo de la tecnología.</v>
          </cell>
          <cell r="D5" t="str">
            <v>Optimiza mediante herramientas tecnológicas los tiempos y costos en un problema proyecto ingenieril.</v>
          </cell>
        </row>
        <row r="6">
          <cell r="A6" t="str">
            <v>Identificar, formular y resolver problemas de ingeniería aplicando los principios de las ciencias básicas en ingeniería.</v>
          </cell>
          <cell r="B6" t="str">
            <v>Elaboran las especificaciones técnicas para la construcción, el desarrollo e implementación de la solución de un problema un proyecto usando normas y estándares nacionales e internacionales.</v>
          </cell>
          <cell r="D6" t="str">
            <v>Aplica los requisitos de un estudio técnico para la elaboración, desarrollo e implementación de la solución de un problema proyecto.</v>
          </cell>
        </row>
        <row r="7">
          <cell r="A7" t="str">
            <v>Aplicar, analizar y sintetizar procesos de diseño de ingeniería que resulten en proyectos que cumplen las necesidades especificadas.</v>
          </cell>
          <cell r="B7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7" t="str">
            <v>Comprende la metodología del diseño que inciden en proyectos o sistemas de ingeniería</v>
          </cell>
        </row>
        <row r="8">
          <cell r="A8" t="str">
            <v>Aplicar, analizar y sintetizar procesos de diseño de ingeniería que resulten en proyectos que cumplen las necesidades especificadas.</v>
          </cell>
          <cell r="B8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8" t="str">
            <v>Selecciona y utiliza adecuadamente las herramientas técnicas y tecnológicas de diseño.</v>
          </cell>
        </row>
        <row r="9">
          <cell r="A9" t="str">
            <v>Aplicar, analizar y sintetizar procesos de diseño de ingeniería que resulten en proyectos que cumplen las necesidades especificadas.</v>
          </cell>
          <cell r="B9" t="str">
            <v>Capacidad para comprender la metodología de diseño de ingeniería y herramientas para resolver problemas complejos no estructurados, de acuerdo con requerimientos establecidos, dentro de un sistema de trabajo.</v>
          </cell>
          <cell r="D9" t="str">
            <v>Utiliza y cumple en el diseño del proyecto o sistema con los requerimientos establecidos aplicables.</v>
          </cell>
        </row>
        <row r="10">
          <cell r="A10" t="str">
            <v>Aplicar, analizar y sintetizar procesos de diseño de ingeniería que resulten en proyectos que cumplen las necesidades especificadas.</v>
          </cell>
          <cell r="B10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0" t="str">
            <v>Comprende los distintos tipos de diseño y utiliza adecuadamente los procedimientos y herramientas de diseño para un proyecto complejo de ingeniería.</v>
          </cell>
        </row>
        <row r="11">
          <cell r="A11" t="str">
            <v>Aplicar, analizar y sintetizar procesos de diseño de ingeniería que resulten en proyectos que cumplen las necesidades especificadas.</v>
          </cell>
          <cell r="B11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1" t="str">
            <v>Selecciona y utiliza el procedimiento más pertinente para diseñar el proyecto considerando las normas aplicables.</v>
          </cell>
        </row>
        <row r="12">
          <cell r="A12" t="str">
            <v>Aplicar, analizar y sintetizar procesos de diseño de ingeniería que resulten en proyectos que cumplen las necesidades especificadas.</v>
          </cell>
          <cell r="B12" t="str">
            <v>Capacidad para aplicar el diseño de ingeniería y herramientas para el diseño de sistemas, componentes o procesos con múltiples soluciones no especificadas, de acuerdo con requerimientos establecidos y las normas, en un proyecto de ingeniería.</v>
          </cell>
          <cell r="D12" t="str">
            <v>Formula y evalúa el proyecto considerando en su diseño, los requerimientos establecidos así́ como las normas correspondientes.</v>
          </cell>
        </row>
        <row r="13">
          <cell r="A13" t="str">
            <v>Aplicar, analizar y sintetizar procesos de diseño de ingeniería que resulten en proyectos que cumplen las necesidades especificadas.</v>
          </cell>
          <cell r="B13" t="str">
            <v>Capacidad para valorar el impacto del diseño para la toma de decisiones, que atienda riesgos de salud y seguridad, estándares aplicables, consideraciones económicas, ambientales, culturales y sociales.</v>
          </cell>
          <cell r="D13" t="str">
            <v>Comprende las normas y estándares existentes que debe cumplir el proyecto.</v>
          </cell>
        </row>
        <row r="14">
          <cell r="A14" t="str">
            <v>Aplicar, analizar y sintetizar procesos de diseño de ingeniería que resulten en proyectos que cumplen las necesidades especificadas.</v>
          </cell>
          <cell r="B14" t="str">
            <v>Capacidad para valorar el impacto del diseño para la toma de decisiones, que atienda riesgos de salud y seguridad, estándares aplicables, consideraciones económicas, ambientales, culturales y sociales.</v>
          </cell>
          <cell r="D14" t="str">
            <v>Comprende y cumple con los lineamientos de Seguridad industrial y social.</v>
          </cell>
        </row>
        <row r="15">
          <cell r="A15" t="str">
            <v>Aplicar, analizar y sintetizar procesos de diseño de ingeniería que resulten en proyectos que cumplen las necesidades especificadas.</v>
          </cell>
          <cell r="B15" t="str">
            <v>Capacidad para valorar el impacto del diseño para la toma de decisiones, que atienda riesgos de salud y seguridad, estándares aplicables, consideraciones económicas, ambientales, culturales y sociales.</v>
          </cell>
          <cell r="D15" t="str">
            <v>Analiza e incorpora el Impacto ambiental, social y económico de la solución propuesta por el proyecto.</v>
          </cell>
        </row>
        <row r="16">
          <cell r="A16" t="str">
            <v>Desarrollar y conducir una experimentación adecuada; analizar e interpretar datos y utilizar el juicio ingenieril para establecer conclusiones.</v>
          </cell>
          <cell r="B16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6" t="str">
            <v>Conoce el contexto del problema a resolver.</v>
          </cell>
        </row>
        <row r="17">
          <cell r="A17" t="str">
            <v>Desarrollar y conducir una experimentación adecuada; analizar e interpretar datos y utilizar el juicio ingenieril para establecer conclusiones.</v>
          </cell>
          <cell r="B17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7" t="str">
            <v>Formula hipótesis que conducen a la solución del problema en cuestión</v>
          </cell>
        </row>
        <row r="18">
          <cell r="A18" t="str">
            <v>Desarrollar y conducir una experimentación adecuada; analizar e interpretar datos y utilizar el juicio ingenieril para establecer conclusiones.</v>
          </cell>
          <cell r="B18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8" t="str">
            <v>Identifica las variables dependientes e independientes.</v>
          </cell>
        </row>
        <row r="19">
          <cell r="A19" t="str">
            <v>Desarrollar y conducir una experimentación adecuada; analizar e interpretar datos y utilizar el juicio ingenieril para establecer conclusiones.</v>
          </cell>
          <cell r="B19" t="str">
            <v>Ante un problema definido, desarrollan hipótesis basadas en un sólido marco conceptual, definen variables dependientes e independientes y establecen la metodología que les permita la medición de las variables para probar las hipótesis establecidas.</v>
          </cell>
          <cell r="D19" t="str">
            <v>Formula los indicadores de medición de las variables.</v>
          </cell>
        </row>
        <row r="20">
          <cell r="A20" t="str">
            <v>Desarrollar y conducir una experimentación adecuada; analizar e interpretar datos y utilizar el juicio ingenieril para establecer conclusiones.</v>
          </cell>
          <cell r="B20" t="str">
            <v>Demuestran que ellos pueden conducir un procedimiento experimental, usando adecuadamente los materiales y los equipos de laboratorio apropiados.</v>
          </cell>
          <cell r="D20" t="str">
            <v>Conduce la experimentación de acuerdo con el método científico para llegar a resultados y concluir las hipótesis.</v>
          </cell>
        </row>
        <row r="21">
          <cell r="A21" t="str">
            <v>Desarrollar y conducir una experimentación adecuada; analizar e interpretar datos y utilizar el juicio ingenieril para establecer conclusiones.</v>
          </cell>
          <cell r="D21" t="str">
            <v>Conoce y aplica los materiales y equipos a usar en la experimentación</v>
          </cell>
        </row>
        <row r="22">
          <cell r="A22" t="str">
            <v>Desarrollar y conducir una experimentación adecuada; analizar e interpretar datos y utilizar el juicio ingenieril para establecer conclusiones.</v>
          </cell>
          <cell r="B22" t="str">
            <v>Cumplen cuidadosamente con todas las normas de seguridad, tomando con cuidado y precisión las mediciones, las registran para hacer el reporte y describen a otros claramente el proceso seguido.</v>
          </cell>
          <cell r="D22" t="str">
            <v xml:space="preserve">Propone un plan de experimentación con las necesidades e insumos necesarios y elabora reportes con los resultados. </v>
          </cell>
        </row>
        <row r="23">
          <cell r="A23" t="str">
            <v>Desarrollar y conducir una experimentación adecuada; analizar e interpretar datos y utilizar el juicio ingenieril para establecer conclusiones.</v>
          </cell>
          <cell r="B23" t="str">
            <v>Analizan e interpretan los resultados utilizando las herramientas matemáticas y las representaciones adecuadas</v>
          </cell>
          <cell r="D23" t="str">
            <v>Analiza los resultados obtenidos de la experimentación y compara con los parámetros de referencia para emitir las conclusiones al procedimiento.</v>
          </cell>
        </row>
        <row r="24">
          <cell r="A24" t="str">
            <v>Desarrollar y conducir una experimentación adecuada; analizar e interpretar datos y utilizar el juicio ingenieril para establecer conclusiones.</v>
          </cell>
          <cell r="B24" t="str">
            <v>Interpretan y explican, con base en la teoría, los resultados obtenidos para comprobar la hipótesis presentada.</v>
          </cell>
          <cell r="D24" t="str">
            <v>Formula las conclusiones de las hipótesis de acuerdo con los resultados obtenidos en el procedimiento experimental.</v>
          </cell>
        </row>
        <row r="25">
          <cell r="A25" t="str">
            <v>Comunicarse efectivamente con diferentes audiencias.</v>
          </cell>
          <cell r="B25" t="str">
            <v>Estructura y presenta reportes, en forma oral y escrita.</v>
          </cell>
          <cell r="D25" t="str">
            <v>Genera eficientemente los informes necesarios de un proyecto ingenieril de manera oral, escrita y gráfica, según la audiencia.</v>
          </cell>
        </row>
        <row r="26">
          <cell r="A26" t="str">
            <v>Comunicarse efectivamente con diferentes audiencias.</v>
          </cell>
          <cell r="B26" t="str">
            <v>Utiliza efectivamente tecnologías de información y comunicación.</v>
          </cell>
          <cell r="D26" t="str">
            <v>Emplea la tecnología de vanguardia para comunicar eficazmente los resultados de un proyecto ingenieril.</v>
          </cell>
        </row>
        <row r="27">
          <cell r="A27" t="str">
            <v>Comunicarse efectivamente con diferentes audiencias.</v>
          </cell>
          <cell r="B27" t="str">
            <v>Elabora informes técnicos utilizando una estructura formal de textos científicos.</v>
          </cell>
          <cell r="D27" t="str">
            <v>Aplica la metodología de investigación, para poder redactar informes técnicos necesarios en las organizaciones.</v>
          </cell>
        </row>
        <row r="28">
          <cell r="A28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8" t="str">
            <v>Son conscientes de los conceptos y valores implicados en la puesta en marcha del proyecto de ingeniería considerando el impacto social, económico y ambiental en el contexto de aplicación.</v>
          </cell>
          <cell r="D28" t="str">
            <v>Comprende con claridad los conceptos y los códigos de ética vinculados con su profesión y se conduce de acuerdo con ellos.</v>
          </cell>
        </row>
        <row r="29">
          <cell r="A2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29" t="str">
            <v>Son conscientes de los conceptos y valores implicados en la puesta en marcha del proyecto de ingeniería considerando el impacto social, económico y ambiental en el contexto de aplicación.</v>
          </cell>
          <cell r="D29" t="str">
            <v>Comprende con claridad la responsabilidad integral que tiene todo ingeniero al momento de tomar una decisión, considerando el impacto social, económico y ambiental.</v>
          </cell>
        </row>
        <row r="30">
          <cell r="A30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0" t="str">
            <v>Analizan críticamente los juicios propios y ajenos sobre la realidad, y son conscientes de las consecuencias e implicaciones de estos.</v>
          </cell>
          <cell r="D30" t="str">
            <v>Respeta la normatividad existente en las empresas, así como la normatividad específica de su profesión y es consciente de las consecuencias de no respetarlas.</v>
          </cell>
        </row>
        <row r="31">
          <cell r="A31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1" t="str">
            <v>Muestran y argumentan la pertenencia de los comportamientos y juicios que se emiten, fundamentados en conceptos éticos y deontológicos.</v>
          </cell>
          <cell r="D31" t="str">
            <v>Aplica los conceptos éticos y deontológicos en el ejercicio diario de su profesión.</v>
          </cell>
        </row>
        <row r="32">
          <cell r="A32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  <cell r="B32" t="str">
            <v>Muestran y argumentan la pertenencia de los comportamientos y juicios que se emiten, fundamentados en conceptos éticos y deontológicos.</v>
          </cell>
          <cell r="D32" t="str">
            <v>Participa en la revisión y actualización de los procesos normativos de la empresa, para su pertinencia.</v>
          </cell>
        </row>
        <row r="33">
          <cell r="A33" t="str">
            <v>Actualización. Reconocer la necesidad permanente de conocimiento adicional y tener la habilidad para localizar, evaluar, integrar y aplicar este conocimiento adecuadamente.</v>
          </cell>
          <cell r="B33" t="str">
            <v>Practica la autocrítica para poder identificar áreas de oportunidad, que le permitan la obtención de conocimiento adicional.</v>
          </cell>
          <cell r="D33" t="str">
            <v>Realiza periódicamente estrategias de critica personal, para identificar áreas de oportunidad de conocimiento adicional en el campo profesional según el área en que se desenvuelve.</v>
          </cell>
        </row>
        <row r="34">
          <cell r="A34" t="str">
            <v>Actualización. Reconocer la necesidad permanente de conocimiento adicional y tener la habilidad para localizar, evaluar, integrar y aplicar este conocimiento adecuadamente.</v>
          </cell>
          <cell r="B34" t="str">
            <v>Planea las actividades necesarias para mantener una actualización permanente, para tener las competencias que le permitan plantear las soluciones más pertinentes.</v>
          </cell>
          <cell r="D34" t="str">
            <v>Realiza la planeación y organización necesarias para la adquisición del conocimiento y habilidades que le permiten actualizarse en su profesión.</v>
          </cell>
        </row>
        <row r="35">
          <cell r="A35" t="str">
            <v>Actualización. Reconocer la necesidad permanente de conocimiento adicional y tener la habilidad para localizar, evaluar, integrar y aplicar este conocimiento adecuadamente.</v>
          </cell>
          <cell r="B35" t="str">
            <v xml:space="preserve">Muestra interés permanente para practicar el autoaprendizaje, y es consciente de lo importancia de llevarlo a cabo para la obtención de más competencias.  </v>
          </cell>
          <cell r="D35" t="str">
            <v>Demuestra habilidad para aprender por su cuenta en la búsqueda de nuevas competencias profesionales.</v>
          </cell>
        </row>
        <row r="36">
          <cell r="A36" t="str">
            <v>Trabajar efectivamente en equipos que establecen metas, planean tareas, cumplen fechas límite y analizan riesgos e incertidumbre.</v>
          </cell>
          <cell r="B36" t="str">
            <v>Planea las actividades necesarias y los tiempos establecidos para el cumplimiento de metas, considerando los riesgos.</v>
          </cell>
          <cell r="D36" t="str">
            <v>Participa con otros equipos para la elaboración de planes de trabajo para el cumplimiento de metas en conjunto</v>
          </cell>
        </row>
        <row r="37">
          <cell r="A37" t="str">
            <v>Trabajar efectivamente en equipos que establecen metas, planean tareas, cumplen fechas límite y analizan riesgos e incertidumbre.</v>
          </cell>
          <cell r="B37" t="str">
            <v>Realiza las funciones encomendadas por el equipo de trabajo.</v>
          </cell>
          <cell r="D37" t="str">
            <v>Demuestra habilidad para desarrollar funciones en coordinación con otros equipos de trabajo</v>
          </cell>
        </row>
        <row r="38">
          <cell r="A38" t="str">
            <v>Trabajar efectivamente en equipos que establecen metas, planean tareas, cumplen fechas límite y analizan riesgos e incertidumbre.</v>
          </cell>
          <cell r="B38" t="str">
            <v>Discute el resultado logrado con el equipo de trabajo, escuchando y respetando la opinión de los otros miembros del equipo.</v>
          </cell>
          <cell r="D38" t="str">
            <v>Mantiene una comunicación permanente con su equipo de trabajo, tomando siempre en cuenta y respetando la opinión de todos, obteniendo los mejores resultados.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Ing. Sistemas Computacionales</v>
          </cell>
          <cell r="B1" t="str">
            <v>ADMINISTRACION DE BASE DE DATOS CORPORATIVAS</v>
          </cell>
          <cell r="C1" t="str">
            <v>Actualización. Reconocer la necesidad permanente de conocimiento adicional y tener la habilidad para localizar, evaluar, integrar y aplicar este conocimiento adecuadamente.</v>
          </cell>
        </row>
        <row r="2">
          <cell r="A2" t="str">
            <v>Ing. Sistemas Computacionales</v>
          </cell>
          <cell r="B2" t="str">
            <v>ADMINISTRACION DE BASE DE DATOS CORPORATIVAS</v>
          </cell>
          <cell r="C2" t="str">
            <v>Aplicar, analizar y sintetizar procesos de diseño de ingeniería que resulten en proyectos que cumplen las necesidades especificadas.</v>
          </cell>
        </row>
        <row r="3">
          <cell r="A3" t="str">
            <v>Ing. Sistemas Computacionales</v>
          </cell>
          <cell r="B3" t="str">
            <v>ANALISIS DE ALGORITMOS</v>
          </cell>
          <cell r="C3" t="str">
            <v>Aplicar, analizar y sintetizar procesos de diseño de ingeniería que resulten en proyectos que cumplen las necesidades especificadas.</v>
          </cell>
        </row>
        <row r="4">
          <cell r="A4" t="str">
            <v>Ing. Sistemas Computacionales</v>
          </cell>
          <cell r="B4" t="str">
            <v>ANALISIS DE ALGORITMOS</v>
          </cell>
          <cell r="C4" t="str">
            <v>Identificar, formular y resolver problemas de ingeniería aplicando los principios de las ciencias básicas en ingeniería.</v>
          </cell>
        </row>
        <row r="5">
          <cell r="A5" t="str">
            <v>Ing. Sistemas Computacionales</v>
          </cell>
          <cell r="B5" t="str">
            <v>ARQUITECTURA DE COMPUTADORAS</v>
          </cell>
          <cell r="C5" t="str">
            <v>Aplicar, analizar y sintetizar procesos de diseño de ingeniería que resulten en proyectos que cumplen las necesidades especificadas.</v>
          </cell>
        </row>
        <row r="6">
          <cell r="A6" t="str">
            <v>Ing. Sistemas Computacionales</v>
          </cell>
          <cell r="B6" t="str">
            <v>ARQUITECTURA DE COMPUTADORAS</v>
          </cell>
          <cell r="C6" t="str">
            <v>Identificar, formular y resolver problemas de ingeniería aplicando los principios de las ciencias básicas en ingeniería.</v>
          </cell>
        </row>
        <row r="7">
          <cell r="A7" t="str">
            <v>Ing. Sistemas Computacionales</v>
          </cell>
          <cell r="B7" t="str">
            <v>BASE DE DATOS AVANZADAS</v>
          </cell>
          <cell r="C7" t="str">
            <v>Identificar, formular y resolver problemas de ingeniería aplicando los principios de las ciencias básicas en ingeniería.</v>
          </cell>
        </row>
        <row r="8">
          <cell r="A8" t="str">
            <v>Ing. Sistemas Computacionales</v>
          </cell>
          <cell r="B8" t="str">
            <v>CONTABILIDAD</v>
          </cell>
          <cell r="C8" t="str">
            <v>Comunicarse efectivamente con diferentes audiencias.</v>
          </cell>
        </row>
        <row r="9">
          <cell r="A9" t="str">
            <v>Ing. Sistemas Computacionales</v>
          </cell>
          <cell r="B9" t="str">
            <v>CONTABILIDAD</v>
          </cell>
          <cell r="C9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10">
          <cell r="A10" t="str">
            <v>Ing. Sistemas Computacionales</v>
          </cell>
          <cell r="B10" t="str">
            <v>CONTABILIDAD</v>
          </cell>
          <cell r="C10" t="str">
            <v>Trabajar efectivamente en equipos que establecen metas, planean tareas, cumplen fechas límite y analizan riesgos e incertidumbre.</v>
          </cell>
        </row>
        <row r="11">
          <cell r="A11" t="str">
            <v>Ing. Sistemas Computacionales</v>
          </cell>
          <cell r="B11" t="str">
            <v>CREATIVIDAD INNOVACION Y CALIDAD LABORAL</v>
          </cell>
          <cell r="C11" t="str">
            <v>Trabajar efectivamente en equipos que establecen metas, planean tareas, cumplen fechas límite y analizan riesgos e incertidumbre.</v>
          </cell>
        </row>
        <row r="12">
          <cell r="A12" t="str">
            <v>Ing. Sistemas Computacionales</v>
          </cell>
          <cell r="B12" t="str">
            <v>DISEÑO DIGITAL</v>
          </cell>
          <cell r="C12" t="str">
            <v>Aplicar, analizar y sintetizar procesos de diseño de ingeniería que resulten en proyectos que cumplen las necesidades especificadas.</v>
          </cell>
        </row>
        <row r="13">
          <cell r="A13" t="str">
            <v>Ing. Sistemas Computacionales</v>
          </cell>
          <cell r="B13" t="str">
            <v>DISEÑO ELECTRONICO BASADO EN SISTEMAS EMBEBIDOS</v>
          </cell>
          <cell r="C13" t="str">
            <v>Desarrollar y conducir una experimentación adecuada; analizar e interpretar datos y utilizar el juicio ingenieril para establecer conclusiones.</v>
          </cell>
        </row>
        <row r="14">
          <cell r="A14" t="str">
            <v>Ing. Sistemas Computacionales</v>
          </cell>
          <cell r="B14" t="str">
            <v>ELECTRICIDAD, MAGNETISMO Y OPTICA</v>
          </cell>
          <cell r="C14" t="str">
            <v>Identificar, formular y resolver problemas de ingeniería aplicando los principios de las ciencias básicas en ingeniería.</v>
          </cell>
        </row>
        <row r="15">
          <cell r="A15" t="str">
            <v>Ing. Sistemas Computacionales</v>
          </cell>
          <cell r="B15" t="str">
            <v>ELECTRONICA AVANZADA</v>
          </cell>
          <cell r="C15" t="str">
            <v>Aplicar, analizar y sintetizar procesos de diseño de ingeniería que resulten en proyectos que cumplen las necesidades especificadas.</v>
          </cell>
        </row>
        <row r="16">
          <cell r="A16" t="str">
            <v>Ing. Sistemas Computacionales</v>
          </cell>
          <cell r="B16" t="str">
            <v>ESTRUCTURA DE DATOS</v>
          </cell>
          <cell r="C16" t="str">
            <v>Aplicar, analizar y sintetizar procesos de diseño de ingeniería que resulten en proyectos que cumplen las necesidades especificadas.</v>
          </cell>
        </row>
        <row r="17">
          <cell r="A17" t="str">
            <v>Ing. Sistemas Computacionales</v>
          </cell>
          <cell r="B17" t="str">
            <v>ESTRUCTURA DE DATOS</v>
          </cell>
          <cell r="C17" t="str">
            <v>Identificar, formular y resolver problemas de ingeniería aplicando los principios de las ciencias básicas en ingeniería.</v>
          </cell>
        </row>
        <row r="18">
          <cell r="A18" t="str">
            <v>Ing. Sistemas Computacionales</v>
          </cell>
          <cell r="B18" t="str">
            <v>EVALUACION DE PROYECTOS DE INGENIERIA DE SOFTWARE</v>
          </cell>
          <cell r="C18" t="str">
            <v>Aplicar, analizar y sintetizar procesos de diseño de ingeniería que resulten en proyectos que cumplen las necesidades especificadas.</v>
          </cell>
        </row>
        <row r="19">
          <cell r="A19" t="str">
            <v>Ing. Sistemas Computacionales</v>
          </cell>
          <cell r="B19" t="str">
            <v>EVALUACION DE PROYECTOS DE INGENIERIA DE SOFTWARE</v>
          </cell>
          <cell r="C19" t="str">
            <v>Identificar, formular y resolver problemas de ingeniería aplicando los principios de las ciencias básicas en ingeniería.</v>
          </cell>
        </row>
        <row r="20">
          <cell r="A20" t="str">
            <v>Ing. Sistemas Computacionales</v>
          </cell>
          <cell r="B20" t="str">
            <v>EVALUACION DE PROYECTOS DE INGENIERIA DE SOFTWARE</v>
          </cell>
          <cell r="C20" t="str">
            <v>Trabajar efectivamente en equipos que establecen metas, planean tareas, cumplen fechas límite y analizan riesgos e incertidumbre.</v>
          </cell>
        </row>
        <row r="21">
          <cell r="A21" t="str">
            <v>Ing. Sistemas Computacionales</v>
          </cell>
          <cell r="B21" t="str">
            <v>FUNDAMENTOS DE BASE DE DATOS</v>
          </cell>
          <cell r="C21" t="str">
            <v>Identificar, formular y resolver problemas de ingeniería aplicando los principios de las ciencias básicas en ingeniería.</v>
          </cell>
        </row>
        <row r="22">
          <cell r="A22" t="str">
            <v>Ing. Sistemas Computacionales</v>
          </cell>
          <cell r="B22" t="str">
            <v>INGENIERIA DE SOFTWARE</v>
          </cell>
          <cell r="C22" t="str">
            <v>Aplicar, analizar y sintetizar procesos de diseño de ingeniería que resulten en proyectos que cumplen las necesidades especificadas.</v>
          </cell>
        </row>
        <row r="23">
          <cell r="A23" t="str">
            <v>Ing. Sistemas Computacionales</v>
          </cell>
          <cell r="B23" t="str">
            <v>INGENIERIA DE SOFTWARE</v>
          </cell>
          <cell r="C23" t="str">
            <v>Identificar, formular y resolver problemas de ingeniería aplicando los principios de las ciencias básicas en ingeniería.</v>
          </cell>
        </row>
        <row r="24">
          <cell r="A24" t="str">
            <v>Ing. Sistemas Computacionales</v>
          </cell>
          <cell r="B24" t="str">
            <v>INGENIERIA DE SOFTWARE</v>
          </cell>
          <cell r="C24" t="str">
            <v>Trabajar efectivamente en equipos que establecen metas, planean tareas, cumplen fechas límite y analizan riesgos e incertidumbre.</v>
          </cell>
        </row>
        <row r="25">
          <cell r="A25" t="str">
            <v>Ing. Sistemas Computacionales</v>
          </cell>
          <cell r="B25" t="str">
            <v>INGENIERIA ECONOMICA</v>
          </cell>
          <cell r="C25" t="str">
            <v>Identificar, formular y resolver problemas de ingeniería aplicando los principios de las ciencias básicas en ingeniería.</v>
          </cell>
        </row>
        <row r="26">
          <cell r="A26" t="str">
            <v>Ing. Sistemas Computacionales</v>
          </cell>
          <cell r="B26" t="str">
            <v>INGLES INICIAL AVANZADO</v>
          </cell>
          <cell r="C26" t="str">
            <v>Comunicarse efectivamente con diferentes audiencias.</v>
          </cell>
        </row>
        <row r="27">
          <cell r="A27" t="str">
            <v>Ing. Sistemas Computacionales</v>
          </cell>
          <cell r="B27" t="str">
            <v>INVESTIGACION DE OPERACIONES</v>
          </cell>
          <cell r="C27" t="str">
            <v>Aplicar, analizar y sintetizar procesos de diseño de ingeniería que resulten en proyectos que cumplen las necesidades especificadas.</v>
          </cell>
        </row>
        <row r="28">
          <cell r="A28" t="str">
            <v>Ing. Sistemas Computacionales</v>
          </cell>
          <cell r="B28" t="str">
            <v>INVESTIGACION DE OPERACIONES</v>
          </cell>
          <cell r="C28" t="str">
            <v>Desarrollar y conducir una experimentación adecuada; analizar e interpretar datos y utilizar el juicio ingenieril para establecer conclusiones.</v>
          </cell>
        </row>
        <row r="29">
          <cell r="A29" t="str">
            <v>Ing. Sistemas Computacionales</v>
          </cell>
          <cell r="B29" t="str">
            <v>INVESTIGACION DE OPERACIONES</v>
          </cell>
          <cell r="C29" t="str">
            <v>Identificar, formular y resolver problemas de ingeniería aplicando los principios de las ciencias básicas en ingeniería.</v>
          </cell>
        </row>
        <row r="30">
          <cell r="A30" t="str">
            <v>Ing. Sistemas Computacionales</v>
          </cell>
          <cell r="B30" t="str">
            <v>LENGUAJES DE PROGRAMACION</v>
          </cell>
          <cell r="C30" t="str">
            <v>Actualización. Reconocer la necesidad permanente de conocimiento adicional y tener la habilidad para localizar, evaluar, integrar y aplicar este conocimiento adecuadamente.</v>
          </cell>
        </row>
        <row r="31">
          <cell r="A31" t="str">
            <v>Ing. Sistemas Computacionales</v>
          </cell>
          <cell r="B31" t="str">
            <v>LENGUAJES DE PROGRAMACION</v>
          </cell>
          <cell r="C31" t="str">
            <v>Aplicar, analizar y sintetizar procesos de diseño de ingeniería que resulten en proyectos que cumplen las necesidades especificadas.</v>
          </cell>
        </row>
        <row r="32">
          <cell r="A32" t="str">
            <v>Ing. Sistemas Computacionales</v>
          </cell>
          <cell r="B32" t="str">
            <v>LENGUAJES DE PROGRAMACION</v>
          </cell>
          <cell r="C32" t="str">
            <v>Identificar, formular y resolver problemas de ingeniería aplicando los principios de las ciencias básicas en ingeniería.</v>
          </cell>
        </row>
        <row r="33">
          <cell r="A33" t="str">
            <v>Ing. Sistemas Computacionales</v>
          </cell>
          <cell r="B33" t="str">
            <v>MEDIO AMBIENTE Y DESARROLLO SUSTENTABLE</v>
          </cell>
          <cell r="C33" t="str">
            <v>Identificar, formular y resolver problemas de ingeniería aplicando los principios de las ciencias básicas en ingeniería.</v>
          </cell>
        </row>
        <row r="34">
          <cell r="A34" t="str">
            <v>Ing. Sistemas Computacionales</v>
          </cell>
          <cell r="B34" t="str">
            <v>MEDIO AMBIENTE Y DESARROLLO SUSTENTABLE</v>
          </cell>
          <cell r="C34" t="str">
            <v>Reconocer sus responsabilidades éticas y profesionales en situaciones relevantes para la ingeniería y realizar juicios informados, que consideren el impacto de las soluciones de ingeniería en los contextos global, económico, ambiental y social.</v>
          </cell>
        </row>
        <row r="35">
          <cell r="A35" t="str">
            <v>Ing. Sistemas Computacionales</v>
          </cell>
          <cell r="B35" t="str">
            <v>METODOS DE INVESTIGACION</v>
          </cell>
          <cell r="C35" t="str">
            <v>Comunicarse efectivamente con diferentes audiencias.</v>
          </cell>
        </row>
        <row r="36">
          <cell r="A36" t="str">
            <v>Ing. Sistemas Computacionales</v>
          </cell>
          <cell r="B36" t="str">
            <v>METODOS NUMERICOS</v>
          </cell>
          <cell r="C36" t="str">
            <v>Identificar, formular y resolver problemas de ingeniería aplicando los principios de las ciencias básicas en ingeniería.</v>
          </cell>
        </row>
        <row r="37">
          <cell r="A37" t="str">
            <v>Ing. Sistemas Computacionales</v>
          </cell>
          <cell r="B37" t="str">
            <v>OPTATIVA DE CIENCIAS DE INGENIERIA (TEMAS SELECTOS DE AUTOMATIZACION Y CONTROL)</v>
          </cell>
          <cell r="C37" t="str">
            <v>Aplicar, analizar y sintetizar procesos de diseño de ingeniería que resulten en proyectos que cumplen las necesidades especificadas.</v>
          </cell>
        </row>
        <row r="38">
          <cell r="A38" t="str">
            <v>Ing. Sistemas Computacionales</v>
          </cell>
          <cell r="B38" t="str">
            <v>OPTATIVA DE CIENCIAS DE INGENIERIA (TEMAS SELECTOS DE AUTOMATIZACION Y CONTROL)</v>
          </cell>
          <cell r="C38" t="str">
            <v>Identificar, formular y resolver problemas de ingeniería aplicando los principios de las ciencias básicas en ingeniería.</v>
          </cell>
        </row>
        <row r="39">
          <cell r="A39" t="str">
            <v>Ing. Sistemas Computacionales</v>
          </cell>
          <cell r="B39" t="str">
            <v>PROBABILIDAD Y ESTADISTICA</v>
          </cell>
          <cell r="C39" t="str">
            <v>Aplicar, analizar y sintetizar procesos de diseño de ingeniería que resulten en proyectos que cumplen las necesidades especificadas.</v>
          </cell>
        </row>
        <row r="40">
          <cell r="A40" t="str">
            <v>Ing. Sistemas Computacionales</v>
          </cell>
          <cell r="B40" t="str">
            <v>PROBABILIDAD Y ESTADISTICA</v>
          </cell>
          <cell r="C40" t="str">
            <v>Identificar, formular y resolver problemas de ingeniería aplicando los principios de las ciencias básicas en ingeniería.</v>
          </cell>
        </row>
        <row r="41">
          <cell r="A41" t="str">
            <v>Ing. Sistemas Computacionales</v>
          </cell>
          <cell r="B41" t="str">
            <v>PROFESION Y VALORES</v>
          </cell>
          <cell r="C41" t="str">
            <v>Trabajar efectivamente en equipos que establecen metas, planean tareas, cumplen fechas límite y analizan riesgos e incertidumbre.</v>
          </cell>
        </row>
        <row r="42">
          <cell r="A42" t="str">
            <v>Ing. Sistemas Computacionales</v>
          </cell>
          <cell r="B42" t="str">
            <v>PROGRAMACION AVANZADA</v>
          </cell>
          <cell r="C42" t="str">
            <v>Aplicar, analizar y sintetizar procesos de diseño de ingeniería que resulten en proyectos que cumplen las necesidades especificadas.</v>
          </cell>
        </row>
        <row r="43">
          <cell r="A43" t="str">
            <v>Ing. Sistemas Computacionales</v>
          </cell>
          <cell r="B43" t="str">
            <v>PROGRAMACION AVANZADA</v>
          </cell>
          <cell r="C43" t="str">
            <v>Identificar, formular y resolver problemas de ingeniería aplicando los principios de las ciencias básicas en ingeniería.</v>
          </cell>
        </row>
        <row r="44">
          <cell r="A44" t="str">
            <v>Ing. Sistemas Computacionales</v>
          </cell>
          <cell r="B44" t="str">
            <v>PROGRAMACION DE INTERFACES Y PUERTOS</v>
          </cell>
          <cell r="C44" t="str">
            <v>Aplicar, analizar y sintetizar procesos de diseño de ingeniería que resulten en proyectos que cumplen las necesidades especificadas.</v>
          </cell>
        </row>
        <row r="45">
          <cell r="A45" t="str">
            <v>Ing. Sistemas Computacionales</v>
          </cell>
          <cell r="B45" t="str">
            <v>PROGRAMACION DE INTERFACES Y PUERTOS</v>
          </cell>
          <cell r="C45" t="str">
            <v>Identificar, formular y resolver problemas de ingeniería aplicando los principios de las ciencias básicas en ingeniería.</v>
          </cell>
        </row>
        <row r="46">
          <cell r="A46" t="str">
            <v>Ing. Sistemas Computacionales</v>
          </cell>
          <cell r="B46" t="str">
            <v>PROGRAMACION DE MICROPROCESADORES</v>
          </cell>
          <cell r="C46" t="str">
            <v>Aplicar, analizar y sintetizar procesos de diseño de ingeniería que resulten en proyectos que cumplen las necesidades especificadas.</v>
          </cell>
        </row>
        <row r="47">
          <cell r="A47" t="str">
            <v>Ing. Sistemas Computacionales</v>
          </cell>
          <cell r="B47" t="str">
            <v>PROGRAMACION DE MICROPROCESADORES</v>
          </cell>
          <cell r="C47" t="str">
            <v>Identificar, formular y resolver problemas de ingeniería aplicando los principios de las ciencias básicas en ingeniería.</v>
          </cell>
        </row>
        <row r="48">
          <cell r="A48" t="str">
            <v>Ing. Sistemas Computacionales</v>
          </cell>
          <cell r="B48" t="str">
            <v>PROGRAMACION ORIENTADA A OBJETOS</v>
          </cell>
          <cell r="C48" t="str">
            <v>Aplicar, analizar y sintetizar procesos de diseño de ingeniería que resulten en proyectos que cumplen las necesidades especificadas.</v>
          </cell>
        </row>
        <row r="49">
          <cell r="A49" t="str">
            <v>Ing. Sistemas Computacionales</v>
          </cell>
          <cell r="B49" t="str">
            <v>REDES DE AREA AMPLIA</v>
          </cell>
          <cell r="C49" t="str">
            <v>Desarrollar y conducir una experimentación adecuada; analizar e interpretar datos y utilizar el juicio ingenieril para establecer conclusiones.</v>
          </cell>
        </row>
        <row r="50">
          <cell r="A50" t="str">
            <v>Ing. Sistemas Computacionales</v>
          </cell>
          <cell r="B50" t="str">
            <v>REDES DE AREA LOCAL</v>
          </cell>
          <cell r="C50" t="str">
            <v>Identificar, formular y resolver problemas de ingeniería aplicando los principios de las ciencias básicas en ingeniería.</v>
          </cell>
        </row>
        <row r="51">
          <cell r="A51" t="str">
            <v>Ing. Sistemas Computacionales</v>
          </cell>
          <cell r="B51" t="str">
            <v>REDES DE AREA LOCAL</v>
          </cell>
          <cell r="C51" t="str">
            <v>Aplicar, analizar y sintetizar procesos de diseño de ingeniería que resulten en proyectos que cumplen las necesidades especificadas.</v>
          </cell>
        </row>
        <row r="52">
          <cell r="A52" t="str">
            <v>Ing. Sistemas Computacionales</v>
          </cell>
          <cell r="B52" t="str">
            <v>SIMULACION</v>
          </cell>
          <cell r="C52" t="str">
            <v>Desarrollar y conducir una experimentación adecuada; analizar e interpretar datos y utilizar el juicio ingenieril para establecer conclusiones.</v>
          </cell>
        </row>
        <row r="53">
          <cell r="A53" t="str">
            <v>Ing. Sistemas Computacionales</v>
          </cell>
          <cell r="B53" t="str">
            <v>SIMULACION</v>
          </cell>
          <cell r="C53" t="str">
            <v>Identificar, formular y resolver problemas de ingeniería aplicando los principios de las ciencias básicas en ingeniería.</v>
          </cell>
        </row>
        <row r="54">
          <cell r="A54" t="str">
            <v>Ing. Sistemas Computacionales</v>
          </cell>
          <cell r="B54" t="str">
            <v>SISTEMAS OPERATIVOS</v>
          </cell>
          <cell r="C54" t="str">
            <v>Actualización. Reconocer la necesidad permanente de conocimiento adicional y tener la habilidad para localizar, evaluar, integrar y aplicar este conocimiento adecuadamente.</v>
          </cell>
        </row>
        <row r="55">
          <cell r="A55" t="str">
            <v>Ing. Sistemas Computacionales</v>
          </cell>
          <cell r="B55" t="str">
            <v>SISTEMAS OPERATIVOS</v>
          </cell>
          <cell r="C55" t="str">
            <v>Desarrollar y conducir una experimentación adecuada; analizar e interpretar datos y utilizar el juicio ingenieril para establecer conclusiones.</v>
          </cell>
        </row>
        <row r="56">
          <cell r="A56" t="str">
            <v>Ing. Sistemas Computacionales</v>
          </cell>
          <cell r="B56" t="str">
            <v>SISTEMAS OPERATIVOS</v>
          </cell>
          <cell r="C56" t="str">
            <v>Identificar, formular y resolver problemas de ingeniería aplicando los principios de las ciencias básicas en ingeniería.</v>
          </cell>
        </row>
        <row r="57">
          <cell r="A57" t="str">
            <v>Ing. Sistemas Computacionales</v>
          </cell>
          <cell r="B57" t="str">
            <v>SISTEMAS OPERATIVOS DE RED</v>
          </cell>
          <cell r="C57" t="str">
            <v>Actualización. Reconocer la necesidad permanente de conocimiento adicional y tener la habilidad para localizar, evaluar, integrar y aplicar este conocimiento adecuadamente.</v>
          </cell>
        </row>
        <row r="58">
          <cell r="A58" t="str">
            <v>Ing. Sistemas Computacionales</v>
          </cell>
          <cell r="B58" t="str">
            <v>SISTEMAS OPERATIVOS DE RED</v>
          </cell>
          <cell r="C58" t="str">
            <v>Desarrollar y conducir una experimentación adecuada; analizar e interpretar datos y utilizar el juicio ingenieril para establecer conclusiones.</v>
          </cell>
        </row>
        <row r="59">
          <cell r="A59" t="str">
            <v>Ing. Sistemas Computacionales</v>
          </cell>
          <cell r="B59" t="str">
            <v>TEMAS ESPECIALES DE INTERACCION HOMBRE-MAQUINA</v>
          </cell>
          <cell r="C59" t="str">
            <v>Identificar, formular y resolver problemas de ingeniería aplicando los principios de las ciencias básicas en ingeniería.</v>
          </cell>
        </row>
        <row r="60">
          <cell r="A60" t="str">
            <v>Ing. Sistemas Computacionales</v>
          </cell>
          <cell r="B60" t="str">
            <v>TERMODINAMICA</v>
          </cell>
          <cell r="C60" t="str">
            <v>Identificar, formular y resolver problemas de ingeniería aplicando los principios de las ciencias básicas en ingeniería.</v>
          </cell>
        </row>
        <row r="61">
          <cell r="A61" t="str">
            <v>Ing. Sistemas Computacionales</v>
          </cell>
          <cell r="B61" t="str">
            <v>TOPICOS DE PROGRAMACION AVANZADA</v>
          </cell>
          <cell r="C61" t="str">
            <v>Aplicar, analizar y sintetizar procesos de diseño de ingeniería que resulten en proyectos que cumplen las necesidades especificadas.</v>
          </cell>
        </row>
      </sheetData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9850-41AD-48C7-BCD9-C0B76252A389}">
  <sheetPr>
    <pageSetUpPr fitToPage="1"/>
  </sheetPr>
  <dimension ref="A1:G27"/>
  <sheetViews>
    <sheetView tabSelected="1" topLeftCell="A18" zoomScaleNormal="100" workbookViewId="0">
      <selection activeCell="A3" sqref="A3:B3"/>
    </sheetView>
  </sheetViews>
  <sheetFormatPr baseColWidth="10" defaultColWidth="11.44140625" defaultRowHeight="15.6" x14ac:dyDescent="0.3"/>
  <cols>
    <col min="1" max="1" width="6.109375" style="8" customWidth="1"/>
    <col min="2" max="2" width="16.109375" style="8" customWidth="1"/>
    <col min="3" max="3" width="33.5546875" style="8" customWidth="1"/>
    <col min="4" max="4" width="21.109375" style="8" customWidth="1"/>
    <col min="5" max="6" width="9" style="8" customWidth="1"/>
    <col min="7" max="7" width="33.88671875" style="8" customWidth="1"/>
    <col min="8" max="16384" width="11.44140625" style="8"/>
  </cols>
  <sheetData>
    <row r="1" spans="1:7" ht="60.75" customHeight="1" x14ac:dyDescent="0.3">
      <c r="A1" s="53" t="s">
        <v>0</v>
      </c>
      <c r="B1" s="53"/>
      <c r="C1" s="53"/>
      <c r="D1" s="53"/>
      <c r="E1" s="53"/>
      <c r="F1" s="53"/>
      <c r="G1" s="53"/>
    </row>
    <row r="2" spans="1:7" x14ac:dyDescent="0.3">
      <c r="A2" s="54" t="s">
        <v>1</v>
      </c>
      <c r="B2" s="54"/>
      <c r="C2" s="62" t="str">
        <f>[1]RubricaProducto!E5</f>
        <v>Ing. Sistemas Computacionales</v>
      </c>
      <c r="D2" s="62"/>
      <c r="E2" s="62"/>
      <c r="F2" s="62"/>
      <c r="G2" s="62"/>
    </row>
    <row r="3" spans="1:7" ht="27.75" customHeight="1" x14ac:dyDescent="0.3">
      <c r="A3" s="54" t="s">
        <v>2</v>
      </c>
      <c r="B3" s="54"/>
      <c r="C3" s="63"/>
      <c r="D3" s="63"/>
      <c r="E3" s="63"/>
      <c r="F3" s="17" t="s">
        <v>3</v>
      </c>
      <c r="G3" s="16"/>
    </row>
    <row r="4" spans="1:7" x14ac:dyDescent="0.3">
      <c r="A4" s="54" t="s">
        <v>4</v>
      </c>
      <c r="B4" s="54"/>
      <c r="C4" s="64"/>
      <c r="D4" s="65"/>
      <c r="E4" s="65"/>
      <c r="F4" s="65"/>
      <c r="G4" s="65"/>
    </row>
    <row r="5" spans="1:7" x14ac:dyDescent="0.3">
      <c r="A5" s="54" t="s">
        <v>5</v>
      </c>
      <c r="B5" s="54"/>
      <c r="C5" s="15" t="s">
        <v>43</v>
      </c>
      <c r="D5" s="66" t="s">
        <v>6</v>
      </c>
      <c r="E5" s="66"/>
      <c r="F5" s="67" t="s">
        <v>42</v>
      </c>
      <c r="G5" s="67"/>
    </row>
    <row r="6" spans="1:7" ht="32.1" customHeight="1" x14ac:dyDescent="0.3">
      <c r="A6" s="68" t="s">
        <v>7</v>
      </c>
      <c r="B6" s="68"/>
      <c r="C6" s="69"/>
      <c r="D6" s="69"/>
      <c r="E6" s="69"/>
      <c r="F6" s="69"/>
      <c r="G6" s="69"/>
    </row>
    <row r="7" spans="1:7" ht="32.1" customHeight="1" x14ac:dyDescent="0.3">
      <c r="A7" s="68" t="s">
        <v>8</v>
      </c>
      <c r="B7" s="68"/>
      <c r="C7" s="70"/>
      <c r="D7" s="70"/>
      <c r="E7" s="70"/>
      <c r="F7" s="70"/>
      <c r="G7" s="70"/>
    </row>
    <row r="8" spans="1:7" ht="30.75" customHeight="1" x14ac:dyDescent="0.3">
      <c r="A8" s="71" t="s">
        <v>9</v>
      </c>
      <c r="B8" s="72"/>
      <c r="C8" s="69"/>
      <c r="D8" s="69"/>
      <c r="E8" s="69"/>
      <c r="F8" s="69"/>
      <c r="G8" s="69"/>
    </row>
    <row r="9" spans="1:7" ht="15.9" customHeight="1" x14ac:dyDescent="0.3">
      <c r="A9" s="73"/>
      <c r="B9" s="74"/>
      <c r="C9" s="69"/>
      <c r="D9" s="69"/>
      <c r="E9" s="69"/>
      <c r="F9" s="69"/>
      <c r="G9" s="69"/>
    </row>
    <row r="10" spans="1:7" ht="15.9" customHeight="1" x14ac:dyDescent="0.3">
      <c r="A10" s="73"/>
      <c r="B10" s="74"/>
      <c r="C10" s="69"/>
      <c r="D10" s="69"/>
      <c r="E10" s="69"/>
      <c r="F10" s="69"/>
      <c r="G10" s="69"/>
    </row>
    <row r="11" spans="1:7" ht="15.9" customHeight="1" x14ac:dyDescent="0.3">
      <c r="A11" s="75"/>
      <c r="B11" s="76"/>
      <c r="C11" s="69"/>
      <c r="D11" s="69"/>
      <c r="E11" s="69"/>
      <c r="F11" s="69"/>
      <c r="G11" s="69"/>
    </row>
    <row r="12" spans="1:7" ht="15.9" customHeight="1" x14ac:dyDescent="0.3">
      <c r="A12" s="80" t="s">
        <v>10</v>
      </c>
      <c r="B12" s="81"/>
      <c r="C12" s="81"/>
      <c r="D12" s="81"/>
      <c r="E12" s="82"/>
      <c r="F12" s="14" t="s">
        <v>11</v>
      </c>
      <c r="G12" s="11" t="s">
        <v>12</v>
      </c>
    </row>
    <row r="13" spans="1:7" ht="15.9" customHeight="1" x14ac:dyDescent="0.3">
      <c r="A13" s="13">
        <v>1</v>
      </c>
      <c r="B13" s="83"/>
      <c r="C13" s="84"/>
      <c r="D13" s="84"/>
      <c r="E13" s="85"/>
      <c r="F13" s="12"/>
      <c r="G13" s="11"/>
    </row>
    <row r="14" spans="1:7" ht="15.9" customHeight="1" x14ac:dyDescent="0.3">
      <c r="A14" s="13">
        <v>2</v>
      </c>
      <c r="B14" s="83"/>
      <c r="C14" s="84"/>
      <c r="D14" s="84"/>
      <c r="E14" s="85"/>
      <c r="F14" s="12"/>
      <c r="G14" s="11"/>
    </row>
    <row r="15" spans="1:7" ht="15.9" customHeight="1" x14ac:dyDescent="0.3">
      <c r="A15" s="13">
        <v>3</v>
      </c>
      <c r="B15" s="83"/>
      <c r="C15" s="84"/>
      <c r="D15" s="84"/>
      <c r="E15" s="85"/>
      <c r="F15" s="12"/>
      <c r="G15" s="11"/>
    </row>
    <row r="16" spans="1:7" ht="15.9" customHeight="1" x14ac:dyDescent="0.3">
      <c r="A16" s="13">
        <v>4</v>
      </c>
      <c r="B16" s="86"/>
      <c r="C16" s="87"/>
      <c r="D16" s="87"/>
      <c r="E16" s="88"/>
      <c r="F16" s="12"/>
      <c r="G16" s="11"/>
    </row>
    <row r="17" spans="1:7" ht="17.100000000000001" customHeight="1" x14ac:dyDescent="0.3">
      <c r="A17" s="13">
        <v>5</v>
      </c>
      <c r="B17" s="86"/>
      <c r="C17" s="87"/>
      <c r="D17" s="87"/>
      <c r="E17" s="88"/>
      <c r="F17" s="12"/>
      <c r="G17" s="11"/>
    </row>
    <row r="18" spans="1:7" ht="36" customHeight="1" x14ac:dyDescent="0.3">
      <c r="A18" s="13">
        <v>6</v>
      </c>
      <c r="B18" s="86"/>
      <c r="C18" s="87"/>
      <c r="D18" s="87"/>
      <c r="E18" s="88"/>
      <c r="F18" s="12"/>
      <c r="G18" s="11"/>
    </row>
    <row r="19" spans="1:7" ht="50.1" customHeight="1" x14ac:dyDescent="0.3">
      <c r="A19" s="77" t="s">
        <v>13</v>
      </c>
      <c r="B19" s="78"/>
      <c r="C19" s="78"/>
      <c r="D19" s="78"/>
      <c r="E19" s="79"/>
      <c r="F19" s="10"/>
      <c r="G19" s="9"/>
    </row>
    <row r="20" spans="1:7" ht="50.1" customHeight="1" x14ac:dyDescent="0.3">
      <c r="A20" s="1"/>
      <c r="B20" s="1"/>
      <c r="C20" s="1"/>
      <c r="D20" s="1"/>
      <c r="E20" s="1"/>
      <c r="F20" s="1"/>
      <c r="G20" s="1"/>
    </row>
    <row r="21" spans="1:7" ht="36" customHeight="1" x14ac:dyDescent="0.3">
      <c r="A21" s="89" t="s">
        <v>14</v>
      </c>
      <c r="B21" s="90"/>
      <c r="C21" s="90"/>
      <c r="D21" s="90"/>
      <c r="E21" s="90"/>
      <c r="F21" s="91"/>
      <c r="G21" s="22" t="s">
        <v>15</v>
      </c>
    </row>
    <row r="22" spans="1:7" ht="36" customHeight="1" x14ac:dyDescent="0.3">
      <c r="A22" s="89" t="s">
        <v>16</v>
      </c>
      <c r="B22" s="90"/>
      <c r="C22" s="90"/>
      <c r="D22" s="90"/>
      <c r="E22" s="90"/>
      <c r="F22" s="91"/>
      <c r="G22" s="22">
        <v>10</v>
      </c>
    </row>
    <row r="23" spans="1:7" ht="36" customHeight="1" x14ac:dyDescent="0.3">
      <c r="A23" s="89" t="s">
        <v>17</v>
      </c>
      <c r="B23" s="90"/>
      <c r="C23" s="90"/>
      <c r="D23" s="90"/>
      <c r="E23" s="90"/>
      <c r="F23" s="91"/>
      <c r="G23" s="22">
        <v>9</v>
      </c>
    </row>
    <row r="24" spans="1:7" ht="36" customHeight="1" x14ac:dyDescent="0.3">
      <c r="A24" s="89" t="s">
        <v>18</v>
      </c>
      <c r="B24" s="90"/>
      <c r="C24" s="90"/>
      <c r="D24" s="90"/>
      <c r="E24" s="90"/>
      <c r="F24" s="91"/>
      <c r="G24" s="23" t="s">
        <v>19</v>
      </c>
    </row>
    <row r="25" spans="1:7" x14ac:dyDescent="0.3">
      <c r="A25" s="89" t="s">
        <v>20</v>
      </c>
      <c r="B25" s="90"/>
      <c r="C25" s="90"/>
      <c r="D25" s="90"/>
      <c r="E25" s="90"/>
      <c r="F25" s="91"/>
      <c r="G25" s="22" t="s">
        <v>21</v>
      </c>
    </row>
    <row r="27" spans="1:7" ht="17.25" customHeight="1" x14ac:dyDescent="0.3"/>
  </sheetData>
  <mergeCells count="32">
    <mergeCell ref="A21:F21"/>
    <mergeCell ref="A22:F22"/>
    <mergeCell ref="A23:F23"/>
    <mergeCell ref="A24:F24"/>
    <mergeCell ref="A25:F25"/>
    <mergeCell ref="A19:E19"/>
    <mergeCell ref="A12:E12"/>
    <mergeCell ref="B13:E13"/>
    <mergeCell ref="B14:E14"/>
    <mergeCell ref="B15:E15"/>
    <mergeCell ref="B16:E16"/>
    <mergeCell ref="B17:E17"/>
    <mergeCell ref="B18:E18"/>
    <mergeCell ref="A6:B6"/>
    <mergeCell ref="C6:G6"/>
    <mergeCell ref="A7:B7"/>
    <mergeCell ref="C7:G7"/>
    <mergeCell ref="A8:B11"/>
    <mergeCell ref="C8:G8"/>
    <mergeCell ref="C9:G9"/>
    <mergeCell ref="C10:G10"/>
    <mergeCell ref="C11:G11"/>
    <mergeCell ref="A4:B4"/>
    <mergeCell ref="C4:G4"/>
    <mergeCell ref="A5:B5"/>
    <mergeCell ref="D5:E5"/>
    <mergeCell ref="F5:G5"/>
    <mergeCell ref="A1:G1"/>
    <mergeCell ref="A2:B2"/>
    <mergeCell ref="C2:G2"/>
    <mergeCell ref="A3:B3"/>
    <mergeCell ref="C3:E3"/>
  </mergeCells>
  <pageMargins left="0.7" right="0.7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8EA1-DD11-4BD7-ACE4-8EE827261803}">
  <dimension ref="A3:N27"/>
  <sheetViews>
    <sheetView topLeftCell="A5" zoomScale="82" zoomScaleNormal="82" workbookViewId="0">
      <selection activeCell="B19" sqref="B19:F19"/>
    </sheetView>
  </sheetViews>
  <sheetFormatPr baseColWidth="10" defaultColWidth="7.5546875" defaultRowHeight="14.4" x14ac:dyDescent="0.3"/>
  <cols>
    <col min="1" max="1" width="3" customWidth="1"/>
    <col min="2" max="2" width="7.5546875" customWidth="1"/>
    <col min="7" max="7" width="11.6640625" customWidth="1"/>
    <col min="8" max="8" width="8.88671875" customWidth="1"/>
    <col min="9" max="9" width="12.109375" customWidth="1"/>
    <col min="10" max="10" width="8.44140625" customWidth="1"/>
    <col min="11" max="11" width="10.88671875" customWidth="1"/>
    <col min="12" max="12" width="8.44140625" customWidth="1"/>
    <col min="13" max="13" width="12.44140625" customWidth="1"/>
  </cols>
  <sheetData>
    <row r="3" spans="1:14" ht="18" x14ac:dyDescent="0.35">
      <c r="A3" s="140" t="s">
        <v>22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</row>
    <row r="5" spans="1:14" ht="16.2" thickBot="1" x14ac:dyDescent="0.35">
      <c r="A5" s="1"/>
      <c r="B5" s="141" t="s">
        <v>1</v>
      </c>
      <c r="C5" s="142"/>
      <c r="D5" s="143"/>
      <c r="E5" s="144" t="s">
        <v>23</v>
      </c>
      <c r="F5" s="145"/>
      <c r="G5" s="145"/>
      <c r="H5" s="145"/>
      <c r="I5" s="145"/>
      <c r="J5" s="145"/>
      <c r="K5" s="142" t="s">
        <v>5</v>
      </c>
      <c r="L5" s="142"/>
      <c r="M5" s="146" t="s">
        <v>44</v>
      </c>
      <c r="N5" s="147"/>
    </row>
    <row r="6" spans="1:14" ht="16.8" thickTop="1" thickBot="1" x14ac:dyDescent="0.35">
      <c r="A6" s="1"/>
      <c r="B6" s="132" t="s">
        <v>2</v>
      </c>
      <c r="C6" s="133"/>
      <c r="D6" s="134"/>
      <c r="E6" s="138"/>
      <c r="F6" s="139"/>
      <c r="G6" s="139"/>
      <c r="H6" s="139"/>
      <c r="I6" s="139"/>
      <c r="J6" s="139"/>
      <c r="K6" s="139"/>
      <c r="L6" s="139"/>
      <c r="M6" s="139"/>
      <c r="N6" s="139"/>
    </row>
    <row r="7" spans="1:14" ht="16.8" thickTop="1" thickBot="1" x14ac:dyDescent="0.35">
      <c r="A7" s="1"/>
      <c r="B7" s="126" t="s">
        <v>4</v>
      </c>
      <c r="C7" s="127"/>
      <c r="D7" s="128"/>
      <c r="E7" s="129"/>
      <c r="F7" s="130"/>
      <c r="G7" s="130"/>
      <c r="H7" s="130"/>
      <c r="I7" s="130"/>
      <c r="J7" s="130"/>
      <c r="K7" s="130"/>
      <c r="L7" s="130"/>
      <c r="M7" s="130"/>
      <c r="N7" s="131"/>
    </row>
    <row r="8" spans="1:14" ht="16.2" thickTop="1" x14ac:dyDescent="0.3">
      <c r="A8" s="1"/>
      <c r="B8" s="132" t="s">
        <v>6</v>
      </c>
      <c r="C8" s="133"/>
      <c r="D8" s="134"/>
      <c r="E8" s="135" t="s">
        <v>37</v>
      </c>
      <c r="F8" s="136"/>
      <c r="G8" s="136"/>
      <c r="H8" s="136"/>
      <c r="I8" s="136"/>
      <c r="J8" s="137" t="s">
        <v>24</v>
      </c>
      <c r="K8" s="137"/>
      <c r="L8" s="136">
        <v>1</v>
      </c>
      <c r="M8" s="136"/>
      <c r="N8" s="136"/>
    </row>
    <row r="9" spans="1:14" ht="45.75" customHeight="1" x14ac:dyDescent="0.3">
      <c r="A9" s="2"/>
      <c r="B9" s="105" t="s">
        <v>7</v>
      </c>
      <c r="C9" s="106"/>
      <c r="D9" s="107"/>
      <c r="E9" s="108"/>
      <c r="F9" s="109"/>
      <c r="G9" s="109"/>
      <c r="H9" s="109"/>
      <c r="I9" s="109"/>
      <c r="J9" s="109"/>
      <c r="K9" s="109"/>
      <c r="L9" s="109"/>
      <c r="M9" s="109"/>
      <c r="N9" s="110"/>
    </row>
    <row r="10" spans="1:14" ht="39.75" customHeight="1" x14ac:dyDescent="0.3">
      <c r="A10" s="2"/>
      <c r="B10" s="111" t="s">
        <v>8</v>
      </c>
      <c r="C10" s="112"/>
      <c r="D10" s="113"/>
      <c r="E10" s="114"/>
      <c r="F10" s="115"/>
      <c r="G10" s="115"/>
      <c r="H10" s="115"/>
      <c r="I10" s="115"/>
      <c r="J10" s="115"/>
      <c r="K10" s="115"/>
      <c r="L10" s="115"/>
      <c r="M10" s="115"/>
      <c r="N10" s="116"/>
    </row>
    <row r="11" spans="1:14" ht="26.25" customHeight="1" x14ac:dyDescent="0.3">
      <c r="A11" s="2"/>
      <c r="B11" s="105" t="s">
        <v>9</v>
      </c>
      <c r="C11" s="106"/>
      <c r="D11" s="107"/>
      <c r="E11" s="120"/>
      <c r="F11" s="121"/>
      <c r="G11" s="121"/>
      <c r="H11" s="121"/>
      <c r="I11" s="121"/>
      <c r="J11" s="121"/>
      <c r="K11" s="121"/>
      <c r="L11" s="121"/>
      <c r="M11" s="121"/>
      <c r="N11" s="122"/>
    </row>
    <row r="12" spans="1:14" ht="30" customHeight="1" x14ac:dyDescent="0.3">
      <c r="B12" s="105"/>
      <c r="C12" s="106"/>
      <c r="D12" s="107"/>
      <c r="E12" s="120"/>
      <c r="F12" s="121"/>
      <c r="G12" s="121"/>
      <c r="H12" s="121"/>
      <c r="I12" s="121"/>
      <c r="J12" s="121"/>
      <c r="K12" s="121"/>
      <c r="L12" s="121"/>
      <c r="M12" s="121"/>
      <c r="N12" s="122"/>
    </row>
    <row r="13" spans="1:14" ht="30" customHeight="1" x14ac:dyDescent="0.3">
      <c r="B13" s="105"/>
      <c r="C13" s="106"/>
      <c r="D13" s="107"/>
      <c r="E13" s="120"/>
      <c r="F13" s="121"/>
      <c r="G13" s="121"/>
      <c r="H13" s="121"/>
      <c r="I13" s="121"/>
      <c r="J13" s="121"/>
      <c r="K13" s="121"/>
      <c r="L13" s="121"/>
      <c r="M13" s="121"/>
      <c r="N13" s="122"/>
    </row>
    <row r="14" spans="1:14" ht="32.25" customHeight="1" x14ac:dyDescent="0.3">
      <c r="B14" s="117"/>
      <c r="C14" s="118"/>
      <c r="D14" s="119"/>
      <c r="E14" s="123"/>
      <c r="F14" s="124"/>
      <c r="G14" s="124"/>
      <c r="H14" s="124"/>
      <c r="I14" s="124"/>
      <c r="J14" s="124"/>
      <c r="K14" s="124"/>
      <c r="L14" s="124"/>
      <c r="M14" s="124"/>
      <c r="N14" s="125"/>
    </row>
    <row r="15" spans="1:14" ht="45.75" customHeight="1" x14ac:dyDescent="0.3">
      <c r="B15" s="100" t="s">
        <v>25</v>
      </c>
      <c r="C15" s="101"/>
      <c r="D15" s="101"/>
      <c r="E15" s="101"/>
      <c r="F15" s="102"/>
      <c r="G15" s="103" t="s">
        <v>26</v>
      </c>
      <c r="H15" s="104"/>
      <c r="I15" s="103" t="s">
        <v>27</v>
      </c>
      <c r="J15" s="104"/>
      <c r="K15" s="103" t="s">
        <v>28</v>
      </c>
      <c r="L15" s="104"/>
      <c r="M15" s="103" t="s">
        <v>29</v>
      </c>
      <c r="N15" s="104"/>
    </row>
    <row r="16" spans="1:14" ht="88.5" customHeight="1" x14ac:dyDescent="0.3">
      <c r="B16" s="95"/>
      <c r="C16" s="96"/>
      <c r="D16" s="96"/>
      <c r="E16" s="96"/>
      <c r="F16" s="97"/>
      <c r="G16" s="98"/>
      <c r="H16" s="99"/>
      <c r="I16" s="98"/>
      <c r="J16" s="99"/>
      <c r="K16" s="98"/>
      <c r="L16" s="99"/>
      <c r="M16" s="98"/>
      <c r="N16" s="99"/>
    </row>
    <row r="17" spans="2:14" ht="88.5" customHeight="1" x14ac:dyDescent="0.3">
      <c r="B17" s="95"/>
      <c r="C17" s="96"/>
      <c r="D17" s="96"/>
      <c r="E17" s="96"/>
      <c r="F17" s="97"/>
      <c r="G17" s="98"/>
      <c r="H17" s="99"/>
      <c r="I17" s="98"/>
      <c r="J17" s="99"/>
      <c r="K17" s="98"/>
      <c r="L17" s="99"/>
      <c r="M17" s="98"/>
      <c r="N17" s="99"/>
    </row>
    <row r="18" spans="2:14" ht="88.5" customHeight="1" x14ac:dyDescent="0.3">
      <c r="B18" s="95"/>
      <c r="C18" s="96"/>
      <c r="D18" s="96"/>
      <c r="E18" s="96"/>
      <c r="F18" s="97"/>
      <c r="G18" s="98"/>
      <c r="H18" s="99"/>
      <c r="I18" s="98"/>
      <c r="J18" s="99"/>
      <c r="K18" s="98"/>
      <c r="L18" s="99"/>
      <c r="M18" s="98"/>
      <c r="N18" s="99"/>
    </row>
    <row r="19" spans="2:14" ht="96" customHeight="1" x14ac:dyDescent="0.3">
      <c r="B19" s="95"/>
      <c r="C19" s="96"/>
      <c r="D19" s="96"/>
      <c r="E19" s="96"/>
      <c r="F19" s="97"/>
      <c r="G19" s="98"/>
      <c r="H19" s="99"/>
      <c r="I19" s="98"/>
      <c r="J19" s="99"/>
      <c r="K19" s="98"/>
      <c r="L19" s="99"/>
      <c r="M19" s="98"/>
      <c r="N19" s="99"/>
    </row>
    <row r="20" spans="2:14" ht="12" customHeight="1" x14ac:dyDescent="0.3">
      <c r="B20" s="94" t="s">
        <v>30</v>
      </c>
      <c r="C20" s="94"/>
      <c r="D20" s="94"/>
      <c r="E20" s="94"/>
      <c r="G20" s="3"/>
      <c r="H20" s="3"/>
      <c r="I20" s="3"/>
      <c r="J20" s="3"/>
      <c r="K20" s="4"/>
      <c r="L20" s="4"/>
      <c r="M20" s="4"/>
      <c r="N20" s="4"/>
    </row>
    <row r="21" spans="2:14" x14ac:dyDescent="0.3">
      <c r="B21" s="92" t="s">
        <v>33</v>
      </c>
      <c r="C21" s="92"/>
      <c r="D21" s="92"/>
      <c r="E21" s="92"/>
      <c r="F21" s="7"/>
      <c r="G21" s="5" t="s">
        <v>31</v>
      </c>
      <c r="H21" s="6"/>
      <c r="I21" s="6"/>
      <c r="K21" s="94" t="s">
        <v>32</v>
      </c>
      <c r="L21" s="94"/>
      <c r="M21" s="94"/>
      <c r="N21" s="94"/>
    </row>
    <row r="22" spans="2:14" x14ac:dyDescent="0.3">
      <c r="K22" s="93" t="s">
        <v>34</v>
      </c>
      <c r="L22" s="93"/>
      <c r="M22" s="93"/>
      <c r="N22" s="93"/>
    </row>
    <row r="27" spans="2:14" x14ac:dyDescent="0.3">
      <c r="B27" t="s">
        <v>31</v>
      </c>
    </row>
  </sheetData>
  <mergeCells count="51">
    <mergeCell ref="B6:D6"/>
    <mergeCell ref="E6:N6"/>
    <mergeCell ref="A3:N3"/>
    <mergeCell ref="B5:D5"/>
    <mergeCell ref="E5:J5"/>
    <mergeCell ref="K5:L5"/>
    <mergeCell ref="M5:N5"/>
    <mergeCell ref="B7:D7"/>
    <mergeCell ref="E7:N7"/>
    <mergeCell ref="B8:D8"/>
    <mergeCell ref="E8:I8"/>
    <mergeCell ref="J8:K8"/>
    <mergeCell ref="L8:N8"/>
    <mergeCell ref="B9:D9"/>
    <mergeCell ref="E9:N9"/>
    <mergeCell ref="B10:D10"/>
    <mergeCell ref="E10:N10"/>
    <mergeCell ref="B11:D14"/>
    <mergeCell ref="E11:N11"/>
    <mergeCell ref="E12:N12"/>
    <mergeCell ref="E13:N13"/>
    <mergeCell ref="E14:N14"/>
    <mergeCell ref="B16:F16"/>
    <mergeCell ref="G16:H16"/>
    <mergeCell ref="I16:J16"/>
    <mergeCell ref="K16:L16"/>
    <mergeCell ref="M16:N16"/>
    <mergeCell ref="B15:F15"/>
    <mergeCell ref="G15:H15"/>
    <mergeCell ref="I15:J15"/>
    <mergeCell ref="K15:L15"/>
    <mergeCell ref="M15:N15"/>
    <mergeCell ref="B18:F18"/>
    <mergeCell ref="G18:H18"/>
    <mergeCell ref="I18:J18"/>
    <mergeCell ref="K18:L18"/>
    <mergeCell ref="M18:N18"/>
    <mergeCell ref="B17:F17"/>
    <mergeCell ref="G17:H17"/>
    <mergeCell ref="I17:J17"/>
    <mergeCell ref="K17:L17"/>
    <mergeCell ref="M17:N17"/>
    <mergeCell ref="B21:E21"/>
    <mergeCell ref="K22:N22"/>
    <mergeCell ref="B20:E20"/>
    <mergeCell ref="K21:N21"/>
    <mergeCell ref="B19:F19"/>
    <mergeCell ref="G19:H19"/>
    <mergeCell ref="I19:J19"/>
    <mergeCell ref="K19:L19"/>
    <mergeCell ref="M19:N19"/>
  </mergeCells>
  <pageMargins left="0.31496062992125984" right="0.31496062992125984" top="0.19685039370078741" bottom="0.19685039370078741" header="0.19685039370078741" footer="0.19685039370078741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AFE0-F828-43A1-9AF1-660D9DED198D}">
  <sheetPr>
    <pageSetUpPr fitToPage="1"/>
  </sheetPr>
  <dimension ref="A1:G22"/>
  <sheetViews>
    <sheetView topLeftCell="A3" zoomScaleNormal="100" workbookViewId="0">
      <selection activeCell="F14" sqref="F14:F15"/>
    </sheetView>
  </sheetViews>
  <sheetFormatPr baseColWidth="10" defaultColWidth="11.33203125" defaultRowHeight="15.6" x14ac:dyDescent="0.3"/>
  <cols>
    <col min="1" max="1" width="6.109375" style="8" customWidth="1"/>
    <col min="2" max="2" width="16.109375" style="8" customWidth="1"/>
    <col min="3" max="3" width="33.6640625" style="8" customWidth="1"/>
    <col min="4" max="4" width="20" style="8" customWidth="1"/>
    <col min="5" max="5" width="23.33203125" style="8" customWidth="1"/>
    <col min="6" max="6" width="18" style="8" customWidth="1"/>
    <col min="7" max="7" width="33.88671875" style="8" customWidth="1"/>
    <col min="8" max="16384" width="11.33203125" style="8"/>
  </cols>
  <sheetData>
    <row r="1" spans="1:7" ht="65.099999999999994" customHeight="1" x14ac:dyDescent="0.3">
      <c r="A1" s="53" t="s">
        <v>35</v>
      </c>
      <c r="B1" s="53"/>
      <c r="C1" s="53"/>
      <c r="D1" s="53"/>
      <c r="E1" s="53"/>
      <c r="F1" s="53"/>
      <c r="G1" s="53"/>
    </row>
    <row r="2" spans="1:7" x14ac:dyDescent="0.3">
      <c r="A2" s="54" t="s">
        <v>1</v>
      </c>
      <c r="B2" s="54"/>
      <c r="C2" s="55" t="str">
        <f>[1]RubricaProducto!E5</f>
        <v>Ing. Sistemas Computacionales</v>
      </c>
      <c r="D2" s="55"/>
      <c r="E2" s="55"/>
      <c r="F2" s="55"/>
      <c r="G2" s="55"/>
    </row>
    <row r="3" spans="1:7" x14ac:dyDescent="0.3">
      <c r="A3" s="54" t="s">
        <v>2</v>
      </c>
      <c r="B3" s="54"/>
      <c r="C3" s="56"/>
      <c r="D3" s="56"/>
      <c r="E3" s="56"/>
      <c r="F3" s="17" t="s">
        <v>3</v>
      </c>
      <c r="G3" s="21"/>
    </row>
    <row r="4" spans="1:7" x14ac:dyDescent="0.3">
      <c r="A4" s="54" t="s">
        <v>4</v>
      </c>
      <c r="B4" s="54"/>
      <c r="C4" s="57"/>
      <c r="D4" s="57"/>
      <c r="E4" s="57"/>
      <c r="F4" s="57"/>
      <c r="G4" s="57"/>
    </row>
    <row r="5" spans="1:7" x14ac:dyDescent="0.3">
      <c r="A5" s="54" t="s">
        <v>5</v>
      </c>
      <c r="B5" s="54"/>
      <c r="C5" s="18" t="s">
        <v>44</v>
      </c>
      <c r="D5" s="58" t="s">
        <v>36</v>
      </c>
      <c r="E5" s="58"/>
      <c r="F5" s="59">
        <v>1</v>
      </c>
      <c r="G5" s="59"/>
    </row>
    <row r="6" spans="1:7" x14ac:dyDescent="0.3">
      <c r="A6" s="60" t="s">
        <v>37</v>
      </c>
      <c r="B6" s="60"/>
      <c r="C6" s="61"/>
      <c r="D6" s="61"/>
      <c r="E6" s="61"/>
      <c r="F6" s="61"/>
      <c r="G6" s="61"/>
    </row>
    <row r="7" spans="1:7" ht="32.1" customHeight="1" x14ac:dyDescent="0.3">
      <c r="A7" s="36" t="s">
        <v>7</v>
      </c>
      <c r="B7" s="36"/>
      <c r="C7" s="51"/>
      <c r="D7" s="52"/>
      <c r="E7" s="52"/>
      <c r="F7" s="52"/>
      <c r="G7" s="52"/>
    </row>
    <row r="8" spans="1:7" ht="32.1" customHeight="1" x14ac:dyDescent="0.3">
      <c r="A8" s="36" t="s">
        <v>8</v>
      </c>
      <c r="B8" s="36"/>
      <c r="C8" s="37"/>
      <c r="D8" s="38"/>
      <c r="E8" s="38"/>
      <c r="F8" s="38"/>
      <c r="G8" s="38"/>
    </row>
    <row r="9" spans="1:7" ht="14.25" customHeight="1" x14ac:dyDescent="0.3">
      <c r="A9" s="39" t="s">
        <v>38</v>
      </c>
      <c r="B9" s="40"/>
      <c r="C9" s="45"/>
      <c r="D9" s="46"/>
      <c r="E9" s="46"/>
      <c r="F9" s="46"/>
      <c r="G9" s="46"/>
    </row>
    <row r="10" spans="1:7" ht="17.25" customHeight="1" x14ac:dyDescent="0.3">
      <c r="A10" s="41"/>
      <c r="B10" s="42"/>
      <c r="C10" s="47"/>
      <c r="D10" s="48"/>
      <c r="E10" s="48"/>
      <c r="F10" s="48"/>
      <c r="G10" s="48"/>
    </row>
    <row r="11" spans="1:7" ht="15.75" customHeight="1" x14ac:dyDescent="0.3">
      <c r="A11" s="41"/>
      <c r="B11" s="42"/>
      <c r="C11" s="47"/>
      <c r="D11" s="48"/>
      <c r="E11" s="48"/>
      <c r="F11" s="48"/>
      <c r="G11" s="48"/>
    </row>
    <row r="12" spans="1:7" ht="20.25" customHeight="1" x14ac:dyDescent="0.3">
      <c r="A12" s="43"/>
      <c r="B12" s="44"/>
      <c r="C12" s="49"/>
      <c r="D12" s="50"/>
      <c r="E12" s="50"/>
      <c r="F12" s="50"/>
      <c r="G12" s="50"/>
    </row>
    <row r="13" spans="1:7" ht="16.2" customHeight="1" x14ac:dyDescent="0.3">
      <c r="A13" s="30" t="s">
        <v>39</v>
      </c>
      <c r="B13" s="30"/>
      <c r="C13" s="31"/>
      <c r="D13" s="32" t="s">
        <v>40</v>
      </c>
      <c r="E13" s="33"/>
      <c r="F13" s="33"/>
      <c r="G13" s="33"/>
    </row>
    <row r="14" spans="1:7" ht="28.5" customHeight="1" x14ac:dyDescent="0.3">
      <c r="A14" s="30"/>
      <c r="B14" s="30"/>
      <c r="C14" s="30"/>
      <c r="D14" s="34"/>
      <c r="E14" s="34" t="s">
        <v>31</v>
      </c>
      <c r="F14" s="34"/>
      <c r="G14" s="34" t="s">
        <v>13</v>
      </c>
    </row>
    <row r="15" spans="1:7" x14ac:dyDescent="0.3">
      <c r="A15" s="30"/>
      <c r="B15" s="30"/>
      <c r="C15" s="30"/>
      <c r="D15" s="35"/>
      <c r="E15" s="35"/>
      <c r="F15" s="35"/>
      <c r="G15" s="35"/>
    </row>
    <row r="16" spans="1:7" ht="19.5" customHeight="1" x14ac:dyDescent="0.3">
      <c r="A16" s="27"/>
      <c r="B16" s="28"/>
      <c r="C16" s="29"/>
      <c r="D16" s="19"/>
      <c r="E16" s="19"/>
      <c r="F16" s="19"/>
      <c r="G16" s="19"/>
    </row>
    <row r="17" spans="1:7" ht="19.5" customHeight="1" x14ac:dyDescent="0.3">
      <c r="A17" s="27"/>
      <c r="B17" s="28"/>
      <c r="C17" s="29"/>
      <c r="D17" s="19"/>
      <c r="E17" s="19"/>
      <c r="F17" s="19"/>
      <c r="G17" s="19"/>
    </row>
    <row r="18" spans="1:7" ht="19.5" customHeight="1" x14ac:dyDescent="0.3">
      <c r="A18" s="27"/>
      <c r="B18" s="28"/>
      <c r="C18" s="29"/>
      <c r="D18" s="19"/>
      <c r="E18" s="19"/>
      <c r="F18" s="19"/>
      <c r="G18" s="19"/>
    </row>
    <row r="19" spans="1:7" ht="19.5" customHeight="1" x14ac:dyDescent="0.3">
      <c r="A19" s="27"/>
      <c r="B19" s="28"/>
      <c r="C19" s="29"/>
      <c r="D19" s="19"/>
      <c r="E19" s="19"/>
      <c r="F19" s="19"/>
      <c r="G19" s="19"/>
    </row>
    <row r="20" spans="1:7" ht="19.5" customHeight="1" x14ac:dyDescent="0.3">
      <c r="A20" s="27"/>
      <c r="B20" s="28"/>
      <c r="C20" s="29"/>
      <c r="D20" s="19"/>
      <c r="E20" s="19"/>
      <c r="F20" s="19"/>
      <c r="G20" s="19"/>
    </row>
    <row r="21" spans="1:7" ht="19.5" customHeight="1" x14ac:dyDescent="0.3">
      <c r="A21" s="27"/>
      <c r="B21" s="28"/>
      <c r="C21" s="29"/>
      <c r="D21" s="19"/>
      <c r="E21" s="19"/>
      <c r="F21" s="19"/>
      <c r="G21" s="19"/>
    </row>
    <row r="22" spans="1:7" x14ac:dyDescent="0.3">
      <c r="A22" s="24" t="s">
        <v>41</v>
      </c>
      <c r="B22" s="25"/>
      <c r="C22" s="25"/>
      <c r="D22" s="25"/>
      <c r="E22" s="25"/>
      <c r="F22" s="26"/>
      <c r="G22" s="20"/>
    </row>
  </sheetData>
  <mergeCells count="34">
    <mergeCell ref="A7:B7"/>
    <mergeCell ref="C7:G7"/>
    <mergeCell ref="A1:G1"/>
    <mergeCell ref="A2:B2"/>
    <mergeCell ref="C2:G2"/>
    <mergeCell ref="A3:B3"/>
    <mergeCell ref="C3:E3"/>
    <mergeCell ref="A4:B4"/>
    <mergeCell ref="C4:G4"/>
    <mergeCell ref="A5:B5"/>
    <mergeCell ref="D5:E5"/>
    <mergeCell ref="F5:G5"/>
    <mergeCell ref="A6:B6"/>
    <mergeCell ref="C6:G6"/>
    <mergeCell ref="A8:B8"/>
    <mergeCell ref="C8:G8"/>
    <mergeCell ref="A9:B12"/>
    <mergeCell ref="C9:G9"/>
    <mergeCell ref="C10:G10"/>
    <mergeCell ref="C11:G11"/>
    <mergeCell ref="C12:G12"/>
    <mergeCell ref="A13:C15"/>
    <mergeCell ref="D13:G13"/>
    <mergeCell ref="F14:F15"/>
    <mergeCell ref="E14:E15"/>
    <mergeCell ref="G14:G15"/>
    <mergeCell ref="D14:D15"/>
    <mergeCell ref="A22:F22"/>
    <mergeCell ref="A16:C16"/>
    <mergeCell ref="A17:C17"/>
    <mergeCell ref="A18:C18"/>
    <mergeCell ref="A19:C19"/>
    <mergeCell ref="A20:C20"/>
    <mergeCell ref="A21:C21"/>
  </mergeCells>
  <phoneticPr fontId="13" type="noConversion"/>
  <pageMargins left="0.7" right="0.7" top="0.75" bottom="0.75" header="0.3" footer="0.3"/>
  <pageSetup scale="6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f331a65-6f06-4401-8a0b-7754c07eb3f3" xsi:nil="true"/>
    <lcf76f155ced4ddcb4097134ff3c332f xmlns="2f331a65-6f06-4401-8a0b-7754c07eb3f3">
      <Terms xmlns="http://schemas.microsoft.com/office/infopath/2007/PartnerControls"/>
    </lcf76f155ced4ddcb4097134ff3c332f>
    <TaxCatchAll xmlns="82a1de80-3b4b-45ba-bc8c-2e04ac9ab5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F04F78AD5D04F9A1571241558CEB5" ma:contentTypeVersion="11" ma:contentTypeDescription="Crear nuevo documento." ma:contentTypeScope="" ma:versionID="7b65265b249362414f0c2b22581bb341">
  <xsd:schema xmlns:xsd="http://www.w3.org/2001/XMLSchema" xmlns:xs="http://www.w3.org/2001/XMLSchema" xmlns:p="http://schemas.microsoft.com/office/2006/metadata/properties" xmlns:ns2="2f331a65-6f06-4401-8a0b-7754c07eb3f3" xmlns:ns3="82a1de80-3b4b-45ba-bc8c-2e04ac9ab525" targetNamespace="http://schemas.microsoft.com/office/2006/metadata/properties" ma:root="true" ma:fieldsID="e1d32a871bef86b4fd5cc3a427691d71" ns2:_="" ns3:_="">
    <xsd:import namespace="2f331a65-6f06-4401-8a0b-7754c07eb3f3"/>
    <xsd:import namespace="82a1de80-3b4b-45ba-bc8c-2e04ac9ab52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31a65-6f06-4401-8a0b-7754c07eb3f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6622977b-c3fe-47cf-ac1f-24cfdb6fd6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1de80-3b4b-45ba-bc8c-2e04ac9ab52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f2165a-1d49-4c0d-96e7-b5ef83825840}" ma:internalName="TaxCatchAll" ma:showField="CatchAllData" ma:web="82a1de80-3b4b-45ba-bc8c-2e04ac9ab5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A0D64-B9FC-4934-8E06-9564DADC54C8}">
  <ds:schemaRefs>
    <ds:schemaRef ds:uri="http://schemas.microsoft.com/office/2006/metadata/properties"/>
    <ds:schemaRef ds:uri="http://schemas.microsoft.com/office/infopath/2007/PartnerControls"/>
    <ds:schemaRef ds:uri="2f331a65-6f06-4401-8a0b-7754c07eb3f3"/>
    <ds:schemaRef ds:uri="82a1de80-3b4b-45ba-bc8c-2e04ac9ab525"/>
  </ds:schemaRefs>
</ds:datastoreItem>
</file>

<file path=customXml/itemProps2.xml><?xml version="1.0" encoding="utf-8"?>
<ds:datastoreItem xmlns:ds="http://schemas.openxmlformats.org/officeDocument/2006/customXml" ds:itemID="{E13F440A-471D-4B2C-8539-70DDE68A30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47B7CC-0656-4D0A-8B0F-939797A5A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331a65-6f06-4401-8a0b-7754c07eb3f3"/>
    <ds:schemaRef ds:uri="82a1de80-3b4b-45ba-bc8c-2e04ac9ab5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ReporteProductoIntegrador</vt:lpstr>
      <vt:lpstr>RubricaProducto</vt:lpstr>
      <vt:lpstr>ListaCotejoAtributo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Alvarez Navarro Eduardo</dc:creator>
  <cp:keywords/>
  <dc:description/>
  <cp:lastModifiedBy>Morales De La Cruz Jorge Alberto</cp:lastModifiedBy>
  <cp:revision/>
  <dcterms:created xsi:type="dcterms:W3CDTF">2026-03-27T19:16:16Z</dcterms:created>
  <dcterms:modified xsi:type="dcterms:W3CDTF">2026-03-28T19:47:08Z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0x010100994F04F78AD5D04F9A1571241558CEB5</vt:lpwstr>
  </property>
</Properties>
</file>